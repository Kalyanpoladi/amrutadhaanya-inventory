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wer Applications" sheetId="1" r:id="rId5"/>
    <sheet state="visible" name="Grower Application Clean" sheetId="2" r:id="rId6"/>
    <sheet state="visible" name="Item_Master" sheetId="3" r:id="rId7"/>
    <sheet state="visible" name="Growers" sheetId="4" r:id="rId8"/>
    <sheet state="visible" name="Grower_Approved_Items" sheetId="5" r:id="rId9"/>
    <sheet state="visible" name="Daily Availability" sheetId="6" r:id="rId10"/>
    <sheet state="visible" name="Grower_Purchases" sheetId="7" r:id="rId11"/>
    <sheet state="visible" name="Basket_Inventory" sheetId="8" r:id="rId12"/>
    <sheet state="visible" name="Curated_Basket_Plan" sheetId="9" r:id="rId13"/>
    <sheet state="visible" name="Customer Orders" sheetId="10" r:id="rId14"/>
    <sheet state="visible" name="Customer Order Items" sheetId="11" r:id="rId15"/>
    <sheet state="visible" name="Customer_Request_Items" sheetId="12" r:id="rId16"/>
    <sheet state="visible" name="Payments" sheetId="13" r:id="rId17"/>
    <sheet state="visible" name="Customer_PIN_Reset" sheetId="14" r:id="rId18"/>
    <sheet state="visible" name="customer_Requests" sheetId="15" r:id="rId19"/>
    <sheet state="visible" name="Basket_Subscriptions" sheetId="16" r:id="rId20"/>
    <sheet state="visible" name="Subscription_Orders" sheetId="17" r:id="rId21"/>
    <sheet state="visible" name="Pending_WhatsApp_Messages" sheetId="18" r:id="rId22"/>
    <sheet state="visible" name="OTP_Verification" sheetId="19" r:id="rId23"/>
    <sheet state="visible" name="Customer_OTP" sheetId="20" r:id="rId24"/>
    <sheet state="visible" name="Customer_Accounts" sheetId="21" r:id="rId25"/>
    <sheet state="visible" name="Customer_Login_Audit" sheetId="22" r:id="rId26"/>
    <sheet state="visible" name="Verified_Devices" sheetId="23" r:id="rId27"/>
    <sheet state="visible" name="Delivery_Persons" sheetId="24" r:id="rId28"/>
    <sheet state="visible" name="Pickup &amp; Drop-off " sheetId="25" r:id="rId29"/>
    <sheet state="visible" name="Grower_Verification" sheetId="26" r:id="rId30"/>
    <sheet state="visible" name="Survey" sheetId="27" r:id="rId31"/>
  </sheets>
  <definedNames/>
  <calcPr/>
</workbook>
</file>

<file path=xl/sharedStrings.xml><?xml version="1.0" encoding="utf-8"?>
<sst xmlns="http://schemas.openxmlformats.org/spreadsheetml/2006/main" count="8310" uniqueCount="2609">
  <si>
    <t>Item_ID</t>
  </si>
  <si>
    <t>Item_Name</t>
  </si>
  <si>
    <t>Category</t>
  </si>
  <si>
    <t>Default_Unit</t>
  </si>
  <si>
    <t>Item_Status</t>
  </si>
  <si>
    <t>Notes</t>
  </si>
  <si>
    <t>Item_Type</t>
  </si>
  <si>
    <t>Telugu_Name</t>
  </si>
  <si>
    <t>Medicinal_Use</t>
  </si>
  <si>
    <t>Image</t>
  </si>
  <si>
    <t>▸ VEGETABLES (53 items)</t>
  </si>
  <si>
    <t>AD-ITM-VEG-001</t>
  </si>
  <si>
    <t>Tomato</t>
  </si>
  <si>
    <t>Vegetables</t>
  </si>
  <si>
    <t>Kg</t>
  </si>
  <si>
    <t>Active</t>
  </si>
  <si>
    <t>Widely grown in Telangana; year-round staple</t>
  </si>
  <si>
    <t>EXISTING</t>
  </si>
  <si>
    <t>టమాటా</t>
  </si>
  <si>
    <t>Timestamp</t>
  </si>
  <si>
    <t>Grower ID</t>
  </si>
  <si>
    <t>Full Name</t>
  </si>
  <si>
    <t>WhatsApp Number</t>
  </si>
  <si>
    <t>Email</t>
  </si>
  <si>
    <t>Village/Area/Locality</t>
  </si>
  <si>
    <t>What do you grow or supply?</t>
  </si>
  <si>
    <t>AD-ITM-VEG-002</t>
  </si>
  <si>
    <t>Please list the specific items you can provide</t>
  </si>
  <si>
    <t>Brinjal (Eggplant)</t>
  </si>
  <si>
    <t>Is this produce mainly grown/supplied by you or your household?</t>
  </si>
  <si>
    <t>Village / Area</t>
  </si>
  <si>
    <t>Do you usually have surplus after your own use?</t>
  </si>
  <si>
    <t>Telangana key crop; multiple varieties</t>
  </si>
  <si>
    <t>Produce Type</t>
  </si>
  <si>
    <t>Approximate weekly availability</t>
  </si>
  <si>
    <t>వంకాయ</t>
  </si>
  <si>
    <t>Typical Weekly Harvest Capacity</t>
  </si>
  <si>
    <t>Specific Items</t>
  </si>
  <si>
    <t>Approximate Quantity Available</t>
  </si>
  <si>
    <t>AD-ITM-VEG-003</t>
  </si>
  <si>
    <t xml:space="preserve">Typical  Quantity Per  Pickup </t>
  </si>
  <si>
    <t>Onion Big</t>
  </si>
  <si>
    <t>Can you inform availability 2 days before pickup?</t>
  </si>
  <si>
    <t>Pickup Preference</t>
  </si>
  <si>
    <t>Essential daily-use item</t>
  </si>
  <si>
    <t>Preferred pickup method</t>
  </si>
  <si>
    <t>Status</t>
  </si>
  <si>
    <t>ఉల్లిపాయ</t>
  </si>
  <si>
    <t>Preferred pickup time</t>
  </si>
  <si>
    <t>AD-ITM-VEG-004</t>
  </si>
  <si>
    <t>Okra (Lady's Finger)</t>
  </si>
  <si>
    <t>Do you agree that Amruta Dhaanya will collect only the quantity that can realistically be sold?</t>
  </si>
  <si>
    <t>Date Registered</t>
  </si>
  <si>
    <t>Popular in both AP &amp; TS</t>
  </si>
  <si>
    <t>Do you agree that unsold items may be returned, discounted with your permission, or handled as discussed?</t>
  </si>
  <si>
    <t>బెండకాయ</t>
  </si>
  <si>
    <t>Preffered Pickup  Time</t>
  </si>
  <si>
    <t>Do you agree to receive payment based on accepted quantity and agreed daily price?</t>
  </si>
  <si>
    <t>AD-ITM-VEG-005</t>
  </si>
  <si>
    <t>Green Chilli</t>
  </si>
  <si>
    <t>Do you agree that Amruta Dhaanya can assign you a private seller service code?</t>
  </si>
  <si>
    <t>AD-WGL-G002</t>
  </si>
  <si>
    <t>Guntur variety famous in AP</t>
  </si>
  <si>
    <t>Best time to contact</t>
  </si>
  <si>
    <t>పచ్చి మిరపకాయ</t>
  </si>
  <si>
    <t xml:space="preserve">Do you understand that your name, phone number, and address will not be shared publicly with customers, and customers may only see your seller code? </t>
  </si>
  <si>
    <t>AD-ITM-VEG-006</t>
  </si>
  <si>
    <t>Capsicum (Bell Pepper)</t>
  </si>
  <si>
    <t>mallaiah</t>
  </si>
  <si>
    <t>Any extral details or question?</t>
  </si>
  <si>
    <t>Poly-house grown; urban demand</t>
  </si>
  <si>
    <t>బంగారు మిరపకాయ</t>
  </si>
  <si>
    <t>I agree that Amruta Dhaanya may contact me by phone or WhatsApp for grower/seller registration, basic verification, availability planning, pickup coordination, payment communication, and service updates.</t>
  </si>
  <si>
    <t>AD-ITM-VEG-007</t>
  </si>
  <si>
    <t>Potato</t>
  </si>
  <si>
    <t>vangapahad</t>
  </si>
  <si>
    <t xml:space="preserve">  I understand that I must provide truthful information about my produce, source, quantity, growing method, and item condition.  </t>
  </si>
  <si>
    <t>Everyday staple</t>
  </si>
  <si>
    <t xml:space="preserve"> I understand that my personal details will not be shared publicly with customers, and Amruta Dhaanya may identify me publicly only through a private seller service code after approval.  </t>
  </si>
  <si>
    <t>బంగాళాదుంప</t>
  </si>
  <si>
    <t>Vegetables , Leafy greens , Flowers , Fruits</t>
  </si>
  <si>
    <t>How did you hear about Amruta Dhaanya?</t>
  </si>
  <si>
    <t>AD-ITM-VEG-008</t>
  </si>
  <si>
    <t>Carrot</t>
  </si>
  <si>
    <t>Tomatoes, brinjal, carrot, ladys finger, beerakaya, sorakaya, mirchi, dhondakaya, dosakaya,kakarkaya, guava, custard apple, lemon, jasmine, rose,mango leaves , nerudu leaves,  garika</t>
  </si>
  <si>
    <t>Would you like our team to explain the process before registration approval?</t>
  </si>
  <si>
    <t>Seasonal (winter); noted in season availability</t>
  </si>
  <si>
    <t>Review Status</t>
  </si>
  <si>
    <t>I can drop at Amruta Dhaanya  collection point</t>
  </si>
  <si>
    <t>గాజరు గడ్డ</t>
  </si>
  <si>
    <t>AD-ITM-VEG-009</t>
  </si>
  <si>
    <t>Assigned Seller Code</t>
  </si>
  <si>
    <t>Approved</t>
  </si>
  <si>
    <t>Beetroot</t>
  </si>
  <si>
    <t>Admin Notes</t>
  </si>
  <si>
    <t>Copied from grower application</t>
  </si>
  <si>
    <t>Seasonal; salads &amp; juices</t>
  </si>
  <si>
    <t>Copied to clean?</t>
  </si>
  <si>
    <t>బీట్‌రూట్</t>
  </si>
  <si>
    <t>Assigned Grower ID</t>
  </si>
  <si>
    <t>AD-ITM-VEG-010</t>
  </si>
  <si>
    <t>Radish (Mullangi)</t>
  </si>
  <si>
    <t>Common in Telugu households</t>
  </si>
  <si>
    <t>ముల్లంగి</t>
  </si>
  <si>
    <t>Morning</t>
  </si>
  <si>
    <t>Raju Huduthabhoina</t>
  </si>
  <si>
    <t>AD-ITM-VEG-011</t>
  </si>
  <si>
    <t>Beans (French Beans)</t>
  </si>
  <si>
    <t>Green beans; seasonal supply</t>
  </si>
  <si>
    <t>బీన్స్</t>
  </si>
  <si>
    <t>rajuudutha00123@gmail.com</t>
  </si>
  <si>
    <t>AD-HNK-G001</t>
  </si>
  <si>
    <t>AD-ITM-VEG-012</t>
  </si>
  <si>
    <t>Ambala road,https://maps.app.goo.gl/sWQbDZqqCygcCzmg8?g_st=ac</t>
  </si>
  <si>
    <t>Cluster Beans (Goru Chikkudu)</t>
  </si>
  <si>
    <t>Manideep</t>
  </si>
  <si>
    <t>poladikalyanreddy555@gmail.com</t>
  </si>
  <si>
    <t>AP/TS specialty</t>
  </si>
  <si>
    <t>గోరు చిక్కుడు</t>
  </si>
  <si>
    <t>Vegetables, Leafy greens, Flowers, Fruits</t>
  </si>
  <si>
    <t>Beerakai, kakarakaya, sorakaya,</t>
  </si>
  <si>
    <t>Hanamkonda</t>
  </si>
  <si>
    <t>Vegetables , Leafy greens , Fruits</t>
  </si>
  <si>
    <t>Onion bg, onion small,  betroot, raw banana, amarnath leaves, amla, ash gourd, spinach, snake gourd, pumpkin, mint leaves, fenugreek leaves, drum stick, curry leaves, corriander leaves, cluster beans, cauliflower, cabbage</t>
  </si>
  <si>
    <t>Yes, I understand</t>
  </si>
  <si>
    <t>Common collection point</t>
  </si>
  <si>
    <t>AD-ITM-VEG-013</t>
  </si>
  <si>
    <t>Yes, regularly</t>
  </si>
  <si>
    <t>Ridge Gourd (Beerakaya)</t>
  </si>
  <si>
    <t>400kg,60 bundles</t>
  </si>
  <si>
    <t>Evening</t>
  </si>
  <si>
    <t>Yes, grown by our household</t>
  </si>
  <si>
    <t>AD-WGL-G001</t>
  </si>
  <si>
    <t>Akhil kore</t>
  </si>
  <si>
    <t>Yes, I agree</t>
  </si>
  <si>
    <t>kanakambaram, rose, beans, chamadumpa,spine gourd, banana, coconut, Crossandra (Kanakambaram),Hibiscus (Mandara / Japa),Jasmine (Malle Poolu), Rose,Banana Leaf (Arati Aaku)</t>
  </si>
  <si>
    <t>Pickup from home/gate</t>
  </si>
  <si>
    <t>Popular gourd in Telugu cooking</t>
  </si>
  <si>
    <t>బీరకాయ</t>
  </si>
  <si>
    <t>100kg</t>
  </si>
  <si>
    <t>Yes, understand and agree</t>
  </si>
  <si>
    <t>Yes, I understand and agree</t>
  </si>
  <si>
    <t>WhatsApp</t>
  </si>
  <si>
    <t>AD-ITM-VEG-014</t>
  </si>
  <si>
    <t>Bottle Gourd (Sorakaya)</t>
  </si>
  <si>
    <t>Yes, please call me</t>
  </si>
  <si>
    <t>New</t>
  </si>
  <si>
    <t>Yes</t>
  </si>
  <si>
    <t>Daily-use gourd</t>
  </si>
  <si>
    <t>సొరకాయ</t>
  </si>
  <si>
    <t>pittalamanideep31@gmail.com</t>
  </si>
  <si>
    <t>Vegetables, Leafy greens, Fruits</t>
  </si>
  <si>
    <t>AD-ITM-VEG-015</t>
  </si>
  <si>
    <t>Snake Gourd (Potlakaya)</t>
  </si>
  <si>
    <t>100kgs, 40 bundles, 10 bunches</t>
  </si>
  <si>
    <t>50 kgs , 10 bunches,</t>
  </si>
  <si>
    <t>Telugu cuisine staple</t>
  </si>
  <si>
    <t>పొట్లకాయ</t>
  </si>
  <si>
    <t>AD-ITM-VEG-016</t>
  </si>
  <si>
    <t>Bitter Gourd (Kakarakaya)</t>
  </si>
  <si>
    <t>Any time</t>
  </si>
  <si>
    <t>Medicinal &amp; culinary use</t>
  </si>
  <si>
    <t>కాకరకాయ</t>
  </si>
  <si>
    <t>bde@amrutadhaanya.com</t>
  </si>
  <si>
    <t>AD-ITM-VEG-017</t>
  </si>
  <si>
    <t>Ash Gourd (Boodida Gummadi)</t>
  </si>
  <si>
    <t>15kgs</t>
  </si>
  <si>
    <t>5kg</t>
  </si>
  <si>
    <t>Festival &amp; daily use</t>
  </si>
  <si>
    <t>బూడిద గుమ్మడికాయ</t>
  </si>
  <si>
    <t>Local agent</t>
  </si>
  <si>
    <t>AD-ITM-VEG-018</t>
  </si>
  <si>
    <t>Pumpkin (Gummadi)</t>
  </si>
  <si>
    <t>No, I understand the process</t>
  </si>
  <si>
    <t>Seasonal festival cooking</t>
  </si>
  <si>
    <t>గుమ్మడికాయ</t>
  </si>
  <si>
    <t>AD-ITM-VEG-019</t>
  </si>
  <si>
    <t>Raw Banana (Aratikaya)</t>
  </si>
  <si>
    <t xml:space="preserve">Uppula chandramogili </t>
  </si>
  <si>
    <t>Widely used in AP/TS cooking</t>
  </si>
  <si>
    <t>అరటికాయ</t>
  </si>
  <si>
    <t>ssiddu0596@gmail.com</t>
  </si>
  <si>
    <t>AD-ITM-VEG-020</t>
  </si>
  <si>
    <t>Ladella,https://maps.app.goo.gl/rW9GoHPyfZvMQpKWA</t>
  </si>
  <si>
    <t>Drumstick (Munagakaya)</t>
  </si>
  <si>
    <t>Bundle</t>
  </si>
  <si>
    <t>Grows across AP/TS; sambar staple</t>
  </si>
  <si>
    <t>మునగకాయ</t>
  </si>
  <si>
    <t xml:space="preserve">Mirchi, brinjal </t>
  </si>
  <si>
    <t>AD-ITM-VEG-021</t>
  </si>
  <si>
    <t>Ivy Gourd (Dondakaya)</t>
  </si>
  <si>
    <t>Mirchi 150kg</t>
  </si>
  <si>
    <t>Very popular in Telugu households</t>
  </si>
  <si>
    <t xml:space="preserve">150kg brinjal mirchi </t>
  </si>
  <si>
    <t>దొండకాయ</t>
  </si>
  <si>
    <t>AD-ITM-VEG-022</t>
  </si>
  <si>
    <t>Yam (Kanda)</t>
  </si>
  <si>
    <t>Seasonal (winter &amp; festival use)</t>
  </si>
  <si>
    <t>కందగడ్డ</t>
  </si>
  <si>
    <t>AD-ITM-VEG-023</t>
  </si>
  <si>
    <t>Sweet Potato</t>
  </si>
  <si>
    <t>Seasonal; street food staple</t>
  </si>
  <si>
    <t>చిలకడదుంప</t>
  </si>
  <si>
    <t>AD-ITM-VEG-024</t>
  </si>
  <si>
    <t>Yellow Cucumber (Dosakaya)</t>
  </si>
  <si>
    <t>AP/TS yellow variety; dal &amp; chutney</t>
  </si>
  <si>
    <t>దోసకాయ</t>
  </si>
  <si>
    <t>AD-ITM-VEG-025</t>
  </si>
  <si>
    <t>Green Cucumber (Kakdi)</t>
  </si>
  <si>
    <t>Salads &amp; raita</t>
  </si>
  <si>
    <t>కాకడి</t>
  </si>
  <si>
    <t xml:space="preserve">Raghupathi </t>
  </si>
  <si>
    <t>AD-ITM-VEG-026</t>
  </si>
  <si>
    <t>Cauliflower</t>
  </si>
  <si>
    <t>Piece</t>
  </si>
  <si>
    <t xml:space="preserve">Birampally </t>
  </si>
  <si>
    <t>Seasonal (winter crop)</t>
  </si>
  <si>
    <t>గోబీ పువ్వు</t>
  </si>
  <si>
    <t>Dhonda</t>
  </si>
  <si>
    <t>AD-ITM-VEG-027</t>
  </si>
  <si>
    <t>150kg</t>
  </si>
  <si>
    <t>Cabbage</t>
  </si>
  <si>
    <t>Year-round; salads &amp; curries</t>
  </si>
  <si>
    <t>క్యాబేజీ</t>
  </si>
  <si>
    <t>Flexible</t>
  </si>
  <si>
    <t>AD-ITM-VEG-028</t>
  </si>
  <si>
    <t>Corn (Sweet Corn)</t>
  </si>
  <si>
    <t>Seasonal (rainy); snacks &amp; bhutta</t>
  </si>
  <si>
    <t>మొక్కజొన్న</t>
  </si>
  <si>
    <t>AD-ITM-VEG-029</t>
  </si>
  <si>
    <t>Taro Root (Chamadumpa)</t>
  </si>
  <si>
    <t>Widely grown in AP/TS</t>
  </si>
  <si>
    <t>చామదుంప</t>
  </si>
  <si>
    <t>AD-ITM-VEG-030</t>
  </si>
  <si>
    <t>Knol Khol (Navalikol)</t>
  </si>
  <si>
    <t>Seasonal winter vegetable</t>
  </si>
  <si>
    <t>నూల్ కోల్</t>
  </si>
  <si>
    <t>AD-ITM-VEG-031</t>
  </si>
  <si>
    <t>POCHAKAYALA RAJIREDDY</t>
  </si>
  <si>
    <t xml:space="preserve">                   90594 87573 </t>
  </si>
  <si>
    <t>Green Peas (Pachi Batani)</t>
  </si>
  <si>
    <t xml:space="preserve">Dhuragampet , near Setharapuram </t>
  </si>
  <si>
    <t>Vegetables, Flowers</t>
  </si>
  <si>
    <t>Common in Telugu cooking; dal &amp; stir-fry</t>
  </si>
  <si>
    <t>Kakarkai, banthi ( Yellow, red)</t>
  </si>
  <si>
    <t>NEW</t>
  </si>
  <si>
    <t>పచ్చి బటానీ</t>
  </si>
  <si>
    <t>Yes, grown on our land</t>
  </si>
  <si>
    <t xml:space="preserve">Week </t>
  </si>
  <si>
    <t>AD-ITM-VEG-032</t>
  </si>
  <si>
    <t>100kg, flowers, kakarkai 50kg</t>
  </si>
  <si>
    <t>Broad Beans (Chikkudukaya)</t>
  </si>
  <si>
    <t>చిక్కుడుకాయ</t>
  </si>
  <si>
    <t>AD-ITM-VEG-033</t>
  </si>
  <si>
    <t>Flat Beans (Avarakaya)</t>
  </si>
  <si>
    <t>Common in AP/TS cooking; pappu &amp; stir-fry</t>
  </si>
  <si>
    <t>అవరకాయ</t>
  </si>
  <si>
    <t>AD-ITM-VEG-034</t>
  </si>
  <si>
    <t>Chow Chow (Seema Vankaya)</t>
  </si>
  <si>
    <t>Common in Telugu cooking; dal &amp; curry</t>
  </si>
  <si>
    <t>సీమ వంకాయ</t>
  </si>
  <si>
    <t>AD-ITM-VEG-035</t>
  </si>
  <si>
    <t>Raw Mango / Green Mango (Mamidikaya)</t>
  </si>
  <si>
    <t>Seasonal; essential for pickles, pappu &amp; chutney</t>
  </si>
  <si>
    <t>మామిడికాయ</t>
  </si>
  <si>
    <t>AD-ITM-VEG-036</t>
  </si>
  <si>
    <t>Plantain Stem (Arati Doota)</t>
  </si>
  <si>
    <t>Very common in Telugu households; curry &amp; stir-fry</t>
  </si>
  <si>
    <t>అరటి దూత</t>
  </si>
  <si>
    <t>AD-ITM-VEG-037</t>
  </si>
  <si>
    <t>Baby Corn</t>
  </si>
  <si>
    <t>Urban demand; restaurants &amp; hotels</t>
  </si>
  <si>
    <t>బేబీ కార్న్</t>
  </si>
  <si>
    <t>Sariaiah upula</t>
  </si>
  <si>
    <t>AD-ITM-VEG-038</t>
  </si>
  <si>
    <t>Mushroom</t>
  </si>
  <si>
    <t>Urban demand; growing popularity in cities</t>
  </si>
  <si>
    <t>పుట్టగొడుగులు</t>
  </si>
  <si>
    <t>Orugonda</t>
  </si>
  <si>
    <t>AD-ITM-VEG-039</t>
  </si>
  <si>
    <t>Broccoli</t>
  </si>
  <si>
    <t>Urban demand; health segment</t>
  </si>
  <si>
    <t>బ్రోకోలీ</t>
  </si>
  <si>
    <t>Dosakai, brinjal, penda, kakarkai, sorakai,  brinjal volite</t>
  </si>
  <si>
    <t>AD-ITM-VEG-040</t>
  </si>
  <si>
    <t>Cherry Tomato</t>
  </si>
  <si>
    <t>Urban demand; salads &amp; garnish</t>
  </si>
  <si>
    <t>చెర్రీ టమాటా</t>
  </si>
  <si>
    <t>AD-ITM-VEG-041</t>
  </si>
  <si>
    <t>Spine Gourd (Boda Kakarakaya / Kantola)</t>
  </si>
  <si>
    <t>Rainy season favorite in AP/TS</t>
  </si>
  <si>
    <t>బోడ కాకరకాయ</t>
  </si>
  <si>
    <t>AD-ITM-VEG-042</t>
  </si>
  <si>
    <t>Alsandikai (Yard-Long Beans / Cowpea)</t>
  </si>
  <si>
    <t>From market commodity data; South Indian staple bean</t>
  </si>
  <si>
    <t>అల్సందికాయ</t>
  </si>
  <si>
    <t>AD-ITM-VEG-043</t>
  </si>
  <si>
    <t>Pointed Gourd (Parval)</t>
  </si>
  <si>
    <t>From market commodity data; less common regionally, seasonal supply</t>
  </si>
  <si>
    <t>కొమ్ము పొట్ల</t>
  </si>
  <si>
    <t>AD-ITM-VEG-044</t>
  </si>
  <si>
    <t>Tinda (Apple Gourd)</t>
  </si>
  <si>
    <t>From market commodity data; also called Indian Round Gourd</t>
  </si>
  <si>
    <t>టిండకాయ</t>
  </si>
  <si>
    <t>AD-ITM-VEG-045</t>
  </si>
  <si>
    <t>Turnip (Shalgam)</t>
  </si>
  <si>
    <t>From market commodity data; winter root vegetable</t>
  </si>
  <si>
    <t>షల్గం</t>
  </si>
  <si>
    <t>AD-ITM-VEG-046</t>
  </si>
  <si>
    <t>Wild Cucumber</t>
  </si>
  <si>
    <t>From market commodity data; regional/rare variety, verify local availability</t>
  </si>
  <si>
    <t>అడవి దోసకాయ</t>
  </si>
  <si>
    <t>AD-ITM-VEG-047</t>
  </si>
  <si>
    <t>Onion small</t>
  </si>
  <si>
    <t xml:space="preserve">Tomatoes, brinjal, carrot, ladys finger, beerakaya, sorakaya, mirchi, dhondakaya, dosakaya,kakarkaya, guava, custard apple, lemon, jasmine, rose,mango leaves , nerudu leaves,  garika </t>
  </si>
  <si>
    <t>AD-ITM-VEG-048</t>
  </si>
  <si>
    <t xml:space="preserve">Purple Long Brinjal </t>
  </si>
  <si>
    <t xml:space="preserve"> పొడవు వంకాయ</t>
  </si>
  <si>
    <t>100kg 30bundles 10 bunches</t>
  </si>
  <si>
    <t>AD-ITM-VEG-049</t>
  </si>
  <si>
    <t xml:space="preserve">Purple Baby Brinjal </t>
  </si>
  <si>
    <t>(గుత్తి వంకాయ)</t>
  </si>
  <si>
    <t>AD-ITM-VEG-050</t>
  </si>
  <si>
    <t xml:space="preserve">Green Long Brinjal </t>
  </si>
  <si>
    <t>(పచ్చ పొడవు వంకాయ)</t>
  </si>
  <si>
    <t>Approved_Item_ID</t>
  </si>
  <si>
    <t>AD-ITM-VEG-051</t>
  </si>
  <si>
    <t>Green Round Brinjal</t>
  </si>
  <si>
    <t xml:space="preserve"> (పచ్చ గుండ్రని వంకాయ)</t>
  </si>
  <si>
    <t>Grower_Name</t>
  </si>
  <si>
    <t>AD-ITM-VEG-052</t>
  </si>
  <si>
    <t xml:space="preserve">White Brinjal </t>
  </si>
  <si>
    <t>(తెల్ల వంకాయ)</t>
  </si>
  <si>
    <t>AD-ITM-VEG-053</t>
  </si>
  <si>
    <t xml:space="preserve">Striped Brinjal </t>
  </si>
  <si>
    <t>(గీతల వంకాయ)</t>
  </si>
  <si>
    <t>AD-ITM-VEG-054</t>
  </si>
  <si>
    <t>Milky White Mushroom</t>
  </si>
  <si>
    <t>InActive</t>
  </si>
  <si>
    <t>Thick, meaty; ideal for heavy gravies; Warangal climate hero SKU</t>
  </si>
  <si>
    <t>పాల పుట్టగొడుగులు / మిల్కీ పుట్టగొడుగులు</t>
  </si>
  <si>
    <t>High protein, gut-friendly fiber, immune support</t>
  </si>
  <si>
    <t>Typical_Quantity</t>
  </si>
  <si>
    <t>AD-ITM-VEG-055</t>
  </si>
  <si>
    <t>Pearl Oyster Mushroom</t>
  </si>
  <si>
    <t>Unit</t>
  </si>
  <si>
    <t>Approved_Status</t>
  </si>
  <si>
    <t>Delicate savory flavor; great for stir-fries</t>
  </si>
  <si>
    <t>చిప్ప పుట్టగొడుగులు</t>
  </si>
  <si>
    <t>Approved_Date</t>
  </si>
  <si>
    <t>Antioxidant-rich, low calorie</t>
  </si>
  <si>
    <t>AD-ITM-VEG-056</t>
  </si>
  <si>
    <t>White Button Mushroom</t>
  </si>
  <si>
    <t>Mild flavor; versatile curry/pizza use</t>
  </si>
  <si>
    <t>బటన్ పుట్టగొడుగులు</t>
  </si>
  <si>
    <t>Plant protein, selenium-rich</t>
  </si>
  <si>
    <t>AI-a33df4eb</t>
  </si>
  <si>
    <t>▸ FRUITS (31 items)</t>
  </si>
  <si>
    <t>AD-ITM-FRT-001</t>
  </si>
  <si>
    <t>kg</t>
  </si>
  <si>
    <t>Mango (Aam)</t>
  </si>
  <si>
    <t>Every 3 days 100 kgs</t>
  </si>
  <si>
    <t>Fruits</t>
  </si>
  <si>
    <t>AI-0f6bbe27</t>
  </si>
  <si>
    <t>Seasonal (summer); AP icon — Banginapalli, Totapuri, Alphonso</t>
  </si>
  <si>
    <t>మామిడి పండు</t>
  </si>
  <si>
    <t>every week</t>
  </si>
  <si>
    <t>AI-5f4486e8</t>
  </si>
  <si>
    <t>AD-ITM-FRT-002</t>
  </si>
  <si>
    <t>Banana (Arati Pandu)</t>
  </si>
  <si>
    <t>Dozen</t>
  </si>
  <si>
    <t>AI-c68ad02a</t>
  </si>
  <si>
    <t>AP major crop; multiple varieties</t>
  </si>
  <si>
    <t>అరటి పండు</t>
  </si>
  <si>
    <t>every 3 days</t>
  </si>
  <si>
    <t>AI-85abd15a</t>
  </si>
  <si>
    <t>AD-ITM-FRT-003</t>
  </si>
  <si>
    <t>Coconut (Fresh - Kobbari)</t>
  </si>
  <si>
    <t>AP/TS everyday &amp; cooking use</t>
  </si>
  <si>
    <t>AI-0ed80fd7</t>
  </si>
  <si>
    <t>కొబ్బరి</t>
  </si>
  <si>
    <t>AD-ITM-FRT-004</t>
  </si>
  <si>
    <t>Lemon (Nimmakaya)</t>
  </si>
  <si>
    <t>pieces</t>
  </si>
  <si>
    <t>AI-e5f66a5d</t>
  </si>
  <si>
    <t>AP key crop; year-round</t>
  </si>
  <si>
    <t>నిమ్మకాయ</t>
  </si>
  <si>
    <t>3 days</t>
  </si>
  <si>
    <t>AI-6149efa4</t>
  </si>
  <si>
    <t>AD-ITM-FRT-005</t>
  </si>
  <si>
    <t>Papaya (Boppaya)</t>
  </si>
  <si>
    <t>AI-85d2dce7</t>
  </si>
  <si>
    <t>Grown widely in AP/TS</t>
  </si>
  <si>
    <t>బొప్పాయి</t>
  </si>
  <si>
    <t>Every 2 days</t>
  </si>
  <si>
    <t>AI-6f59b8ad</t>
  </si>
  <si>
    <t>AD-ITM-FRT-006</t>
  </si>
  <si>
    <t>Guava (Jama Pandu)</t>
  </si>
  <si>
    <t>AP horticulture crop</t>
  </si>
  <si>
    <t>every 4 days</t>
  </si>
  <si>
    <t>జామ పండు</t>
  </si>
  <si>
    <t>AI-9afe1d52</t>
  </si>
  <si>
    <t>AD-ITM-FRT-007</t>
  </si>
  <si>
    <t>Pomegranate (Danimma)</t>
  </si>
  <si>
    <t>AI-d7e6129d</t>
  </si>
  <si>
    <t>AD-ITM-FRT-011</t>
  </si>
  <si>
    <t>Custard Apple (Sitaphal)</t>
  </si>
  <si>
    <t>High-value; AP Kurnool district</t>
  </si>
  <si>
    <t>దానిమ్మ</t>
  </si>
  <si>
    <t>AI-381271a5</t>
  </si>
  <si>
    <t>AD-ITM-FRT-008</t>
  </si>
  <si>
    <t>Watermelon (Puchcha Kaya)</t>
  </si>
  <si>
    <t>AI-a5f71550</t>
  </si>
  <si>
    <t>Seasonal (summer); daily demand in peak season</t>
  </si>
  <si>
    <t>AD-ITM-FLW-002</t>
  </si>
  <si>
    <t>Jasmine (Malle Poolu)</t>
  </si>
  <si>
    <t>Flowers</t>
  </si>
  <si>
    <t>పుచ్చకాయ</t>
  </si>
  <si>
    <t>Seasonal</t>
  </si>
  <si>
    <t>every 2 months</t>
  </si>
  <si>
    <t>AI-b52184cc</t>
  </si>
  <si>
    <t>AD-ITM-FRT-009</t>
  </si>
  <si>
    <t>Muskmelon (Kharbuja)</t>
  </si>
  <si>
    <t>AD-ITM-FLW-003</t>
  </si>
  <si>
    <t>Pink Rose</t>
  </si>
  <si>
    <t>AI-598c7e9d</t>
  </si>
  <si>
    <t>Seasonal (summer fruit)</t>
  </si>
  <si>
    <t>AD-ITM-LEF-001</t>
  </si>
  <si>
    <t>Mango Leaves (Tholakoora)</t>
  </si>
  <si>
    <t>ఖర్బూజా</t>
  </si>
  <si>
    <t>Leaves</t>
  </si>
  <si>
    <t>AD-ITM-FRT-010</t>
  </si>
  <si>
    <t>AI-12cf1172</t>
  </si>
  <si>
    <t>Sapota (Chikoo)</t>
  </si>
  <si>
    <t>AD-ITM-LEF-010</t>
  </si>
  <si>
    <t>Jamun Leaves (Neredu Aaku) ⭐</t>
  </si>
  <si>
    <t>AP/TS popular fruit</t>
  </si>
  <si>
    <t>సపోటా</t>
  </si>
  <si>
    <t>AI-060134ff</t>
  </si>
  <si>
    <t>AD-ITM-LEF-025</t>
  </si>
  <si>
    <t>Doob Grass (Garika)</t>
  </si>
  <si>
    <t>available any time</t>
  </si>
  <si>
    <t>AI-fa015a51</t>
  </si>
  <si>
    <t>Seasonal; AP tribal belt &amp; plains</t>
  </si>
  <si>
    <t>సీతాఫలం</t>
  </si>
  <si>
    <t>AD-ITM-FRT-012</t>
  </si>
  <si>
    <t>Sweet Lime (Mosambi)</t>
  </si>
  <si>
    <t>Big onions</t>
  </si>
  <si>
    <t>Juice &amp; table fruit; year-round</t>
  </si>
  <si>
    <t>AI-272a3a1b</t>
  </si>
  <si>
    <t>మోసాంబి</t>
  </si>
  <si>
    <t>Small onions</t>
  </si>
  <si>
    <t>AD-ITM-FRT-013</t>
  </si>
  <si>
    <t>Orange</t>
  </si>
  <si>
    <t>AI-93f5ebd3</t>
  </si>
  <si>
    <t>Nagpur &amp; local varieties</t>
  </si>
  <si>
    <t>నారింజ</t>
  </si>
  <si>
    <t>fresh</t>
  </si>
  <si>
    <t>AI-15cd350d</t>
  </si>
  <si>
    <t>AD-ITM-FRT-014</t>
  </si>
  <si>
    <t>Pineapple</t>
  </si>
  <si>
    <t>AI-42fbab80</t>
  </si>
  <si>
    <t>AD-ITM-LFG-005</t>
  </si>
  <si>
    <t>Amaranth (Thotakura)</t>
  </si>
  <si>
    <t>Imported; urban demand</t>
  </si>
  <si>
    <t>Leafy greens</t>
  </si>
  <si>
    <t>అన్నాసపండు</t>
  </si>
  <si>
    <t>AI-0f3b367d</t>
  </si>
  <si>
    <t>AD-ITM-FRT-015</t>
  </si>
  <si>
    <t>Grapes</t>
  </si>
  <si>
    <t>AD-ITM-LEF-018</t>
  </si>
  <si>
    <t>Amla Leaves (Usiri Aaku)</t>
  </si>
  <si>
    <t>Seasonal; AP Nandyal &amp; Anantapur belts</t>
  </si>
  <si>
    <t>ద్రాక్ష</t>
  </si>
  <si>
    <t>bundle contains 120grams</t>
  </si>
  <si>
    <t>AI-4755d039</t>
  </si>
  <si>
    <t>AD-ITM-FRT-016</t>
  </si>
  <si>
    <t>Tamarind (Chintapandu)</t>
  </si>
  <si>
    <t>AP major produce; raw &amp; ripe</t>
  </si>
  <si>
    <t>చింతపండు</t>
  </si>
  <si>
    <t>AI-844b7cfd</t>
  </si>
  <si>
    <t>AD-ITM-LFG-001</t>
  </si>
  <si>
    <t>AD-ITM-FRT-017</t>
  </si>
  <si>
    <t>Spinach (Palakura)</t>
  </si>
  <si>
    <t>Gooseberry (Usirikaya)</t>
  </si>
  <si>
    <t>AI-cd71ae36</t>
  </si>
  <si>
    <t>Medicinal; pickles &amp; chyawanprash</t>
  </si>
  <si>
    <t>ఉసిరికాయ</t>
  </si>
  <si>
    <t>AI-45fe0dc1</t>
  </si>
  <si>
    <t>AD-ITM-FRT-018</t>
  </si>
  <si>
    <t>Jack Fruit (Panasa)</t>
  </si>
  <si>
    <t>Seasonal; widely grown in AP/TS</t>
  </si>
  <si>
    <t>AI-baf8e331</t>
  </si>
  <si>
    <t>పనస</t>
  </si>
  <si>
    <t>AD-ITM-LFG-004</t>
  </si>
  <si>
    <t>Mint (Pudina)</t>
  </si>
  <si>
    <t>AD-ITM-FRT-019</t>
  </si>
  <si>
    <t>Dragon Fruit</t>
  </si>
  <si>
    <t>AI-7a1abc1b</t>
  </si>
  <si>
    <t>AD-ITM-LFG-008</t>
  </si>
  <si>
    <t>Emerging AP horticulture crop</t>
  </si>
  <si>
    <t>Drumstick Leaves (Munaga Aku)</t>
  </si>
  <si>
    <t>డ్రాగన్ ఫ్రూట్</t>
  </si>
  <si>
    <t>120grams one bundle</t>
  </si>
  <si>
    <t>AI-70c049c5</t>
  </si>
  <si>
    <t>AD-ITM-FRT-020</t>
  </si>
  <si>
    <t>Fig (Anjeer)</t>
  </si>
  <si>
    <t>1 bundle 4 pieces</t>
  </si>
  <si>
    <t>AI-fadc090c</t>
  </si>
  <si>
    <t>Seasonal; emerging horticulture in AP</t>
  </si>
  <si>
    <t>AD-ITM-LFG-007</t>
  </si>
  <si>
    <t>Curry Leaves (Karivepaku)</t>
  </si>
  <si>
    <t>అంజీర్</t>
  </si>
  <si>
    <t>1 bundle 120 grams</t>
  </si>
  <si>
    <t>AI-80aa4737</t>
  </si>
  <si>
    <t>AD-ITM-FRT-021</t>
  </si>
  <si>
    <t>AD-ITM-LFG-003</t>
  </si>
  <si>
    <t>Apple (Seema Apple)</t>
  </si>
  <si>
    <t>Coriander (Kothimira)</t>
  </si>
  <si>
    <t>AI-69464786</t>
  </si>
  <si>
    <t>Common; imported but widely consumed across AP/TS</t>
  </si>
  <si>
    <t>సీమ ఆపిల్</t>
  </si>
  <si>
    <t xml:space="preserve">  Availability ID</t>
  </si>
  <si>
    <t>AI-afcbfb13</t>
  </si>
  <si>
    <t>AD-ITM-FRT-022</t>
  </si>
  <si>
    <t>Pear (Berikaya)</t>
  </si>
  <si>
    <t>AI-1a011d64</t>
  </si>
  <si>
    <t>Common table fruit; urban &amp; rural demand</t>
  </si>
  <si>
    <t>బేరికాయ</t>
  </si>
  <si>
    <t>Availability_Date</t>
  </si>
  <si>
    <t>AI-34a1b209</t>
  </si>
  <si>
    <t>AD-ITM-LEF-007</t>
  </si>
  <si>
    <t>AD-ITM-FRT-023</t>
  </si>
  <si>
    <t>Ashoka Leaves</t>
  </si>
  <si>
    <t>Dates (Kharjura)</t>
  </si>
  <si>
    <t>Vinayaka Chavithi spcl</t>
  </si>
  <si>
    <t>AI-96751089</t>
  </si>
  <si>
    <t>Very common; especially during festivals &amp; Ramadan</t>
  </si>
  <si>
    <t>AD-ITM-LEF-004</t>
  </si>
  <si>
    <t>Bilva Leaves (Maredu)</t>
  </si>
  <si>
    <t>Seller Code</t>
  </si>
  <si>
    <t>ఖర్జూరం</t>
  </si>
  <si>
    <t>AI-aa822266</t>
  </si>
  <si>
    <t>AD-ITM-LEF-005</t>
  </si>
  <si>
    <t>Tulasi Sprigs</t>
  </si>
  <si>
    <t>AD-ITM-FRT-024</t>
  </si>
  <si>
    <t>Wood Apple (Velaga Pandu)</t>
  </si>
  <si>
    <t>Item Name</t>
  </si>
  <si>
    <t>AI-3f679780</t>
  </si>
  <si>
    <t>AD-ITM-LEF-022</t>
  </si>
  <si>
    <t>Peepal Leaves (Ravi Aaku)</t>
  </si>
  <si>
    <t>Integral part of Telangana diet; medicinal juice</t>
  </si>
  <si>
    <t>వెలగ పండు</t>
  </si>
  <si>
    <t>1 bundle means 3 pieces</t>
  </si>
  <si>
    <t>AI-f01d1263</t>
  </si>
  <si>
    <t>Quantity</t>
  </si>
  <si>
    <t>AD-ITM-LEF-030</t>
  </si>
  <si>
    <t>Shami Leaves (Shami Aaku)</t>
  </si>
  <si>
    <t>AD-ITM-FRT-025</t>
  </si>
  <si>
    <t>Bael Fruit (Maredu Pandu)</t>
  </si>
  <si>
    <t>AI-89017a40</t>
  </si>
  <si>
    <t>AD-ITM-LEF-028</t>
  </si>
  <si>
    <t>Expected Price Per Unit</t>
  </si>
  <si>
    <t>Uttareni Leaves (Uttareni Aaku)</t>
  </si>
  <si>
    <t>Common; medicinal sherbet &amp; pooja use</t>
  </si>
  <si>
    <t>మారేడు పండు</t>
  </si>
  <si>
    <t>AI-77e3945c</t>
  </si>
  <si>
    <t>AD-ITM-LEF-032</t>
  </si>
  <si>
    <t>Maruvamu Leaves (Maruvamu Aaku)</t>
  </si>
  <si>
    <t>AD-ITM-FRT-026</t>
  </si>
  <si>
    <t>Pickup Time</t>
  </si>
  <si>
    <t>Jamun (Neredu Pandu)</t>
  </si>
  <si>
    <t>AI-8daed507</t>
  </si>
  <si>
    <t>Pickup Type</t>
  </si>
  <si>
    <t>AD-ITM-LEF-033</t>
  </si>
  <si>
    <t>Vishnukranta Leaves (Vishnukranta Aaku)</t>
  </si>
  <si>
    <t>Seasonal; common in AP/TS; medicinal for diabetes</t>
  </si>
  <si>
    <t>Fallback Sale Option</t>
  </si>
  <si>
    <t xml:space="preserve">  Purchase_ID</t>
  </si>
  <si>
    <t>నేరేడు పండు</t>
  </si>
  <si>
    <t>AI-bf6a6805</t>
  </si>
  <si>
    <t>AD-ITM-LEF-017</t>
  </si>
  <si>
    <t>Pomegranate Leaves (Danimma Aaku)</t>
  </si>
  <si>
    <t>Minimum Accpetable Price</t>
  </si>
  <si>
    <t>AD-ITM-FRT-027</t>
  </si>
  <si>
    <t>Rose Apple (Jambu)</t>
  </si>
  <si>
    <t>AI-a8e7a183</t>
  </si>
  <si>
    <t>AD-ITM-LEF-034</t>
  </si>
  <si>
    <t>Purchase_Date</t>
  </si>
  <si>
    <t>Ummetta Leaves (Ummetta Aaku)</t>
  </si>
  <si>
    <t>Grower Agreed Price</t>
  </si>
  <si>
    <t>Common in both states; summer fruit</t>
  </si>
  <si>
    <t>Collection_Date</t>
  </si>
  <si>
    <t>జాంబు</t>
  </si>
  <si>
    <t>AI-56a37bb6</t>
  </si>
  <si>
    <t>Customer Selling Price</t>
  </si>
  <si>
    <t>AD-ITM-LEF-038</t>
  </si>
  <si>
    <t>Ganneru Leaves (Ganneru Aaku)</t>
  </si>
  <si>
    <t>Collection_confirmed_by</t>
  </si>
  <si>
    <t>Market Base Price</t>
  </si>
  <si>
    <t>AD-ITM-FRT-028</t>
  </si>
  <si>
    <t>Palm Fruit / Ice Apple (Taati Munjalu)</t>
  </si>
  <si>
    <t>AI-57c372fd</t>
  </si>
  <si>
    <t>Seller_Code</t>
  </si>
  <si>
    <t>AD-ITM-LEF-041</t>
  </si>
  <si>
    <t>Unsold Handling Plan</t>
  </si>
  <si>
    <t>Brihati Leaves (Brihati Aaku)</t>
  </si>
  <si>
    <t>Seasonal summer fruit; very popular in both states</t>
  </si>
  <si>
    <t>AI-e6870fd0</t>
  </si>
  <si>
    <t>Estimated Margin Per Unit</t>
  </si>
  <si>
    <t>Availability_ID</t>
  </si>
  <si>
    <t>AD-ITM-LEF-037</t>
  </si>
  <si>
    <t>తాటి ముంజలు</t>
  </si>
  <si>
    <t>Machi Leaves (Machi Aaku)</t>
  </si>
  <si>
    <t>AI-91b72b7e</t>
  </si>
  <si>
    <t>AD-ITM-FRT-029</t>
  </si>
  <si>
    <t>AD-ITM-LEF-040</t>
  </si>
  <si>
    <t>Mulberry (Tunika Pandu)</t>
  </si>
  <si>
    <t>Moduga Leaves (Moduga Aaku)</t>
  </si>
  <si>
    <t>AV-ff52ec8f</t>
  </si>
  <si>
    <t>AI-a3eca4ac</t>
  </si>
  <si>
    <t>AD-ITM-LEF-036</t>
  </si>
  <si>
    <t>260909-G002-1</t>
  </si>
  <si>
    <t>Integral part of Telangana diet; seasonal</t>
  </si>
  <si>
    <t>Jaji Leaves (Jaji Aaku)</t>
  </si>
  <si>
    <t>తునిక పండు</t>
  </si>
  <si>
    <t>AI-57497195</t>
  </si>
  <si>
    <t>Sold</t>
  </si>
  <si>
    <t>AD-ITM-LEF-031</t>
  </si>
  <si>
    <t>Collection Point</t>
  </si>
  <si>
    <t>Grower_Agreed_Price</t>
  </si>
  <si>
    <t>Shop Backup</t>
  </si>
  <si>
    <t>Regu  (Regu Aaku)</t>
  </si>
  <si>
    <t>Shop Sale</t>
  </si>
  <si>
    <t>AD-ITM-FRT-030</t>
  </si>
  <si>
    <t>Kiwi</t>
  </si>
  <si>
    <t>Purchase_Value</t>
  </si>
  <si>
    <t>Apartments or shops</t>
  </si>
  <si>
    <t>AV-b49f4be8</t>
  </si>
  <si>
    <t>AI-138409b2</t>
  </si>
  <si>
    <t>260909-G002-2</t>
  </si>
  <si>
    <t>Purchase_Status</t>
  </si>
  <si>
    <t>Purple Baby Brinjal (గుత్తి వంకాయ)</t>
  </si>
  <si>
    <t>Urban/imported demand; health segment</t>
  </si>
  <si>
    <t>కివి</t>
  </si>
  <si>
    <t>Payment_Status</t>
  </si>
  <si>
    <t>AI-afc50442</t>
  </si>
  <si>
    <t>AD-ITM-FRT-031</t>
  </si>
  <si>
    <t>Hold for Next Day</t>
  </si>
  <si>
    <t>Strawberry</t>
  </si>
  <si>
    <t>Payment_Date</t>
  </si>
  <si>
    <t>White Brinjal (తెల్ల వంకాయ)</t>
  </si>
  <si>
    <t>Next-Day Discount</t>
  </si>
  <si>
    <t>store it</t>
  </si>
  <si>
    <t>Seasonal; urban demand; AP Mahabubnagar belt</t>
  </si>
  <si>
    <t>AV-4a7413a8</t>
  </si>
  <si>
    <t>స్ట్రాబెర్రీ</t>
  </si>
  <si>
    <t>AI-6a8a8b7b</t>
  </si>
  <si>
    <t>260909-G002-3</t>
  </si>
  <si>
    <t>AD-ITM-FRT-032</t>
  </si>
  <si>
    <t>PUR-AV-6ca7dc65-8ab15c34</t>
  </si>
  <si>
    <t>Kobbari Bondam</t>
  </si>
  <si>
    <t>Admin</t>
  </si>
  <si>
    <t>AI-88082dea</t>
  </si>
  <si>
    <t>260909-G002-10</t>
  </si>
  <si>
    <t>market</t>
  </si>
  <si>
    <t>AD-ITM-LFG-009</t>
  </si>
  <si>
    <t>AV-6ca7dc65</t>
  </si>
  <si>
    <t>AV-2e13b130</t>
  </si>
  <si>
    <t>Gongura (Sorrel Leaves)</t>
  </si>
  <si>
    <t>Active	AP/TS coconut water / drinking use</t>
  </si>
  <si>
    <t>కొబ్బరి బొండం</t>
  </si>
  <si>
    <t>260909-G002-4</t>
  </si>
  <si>
    <t>Collected</t>
  </si>
  <si>
    <t>Paid</t>
  </si>
  <si>
    <t>AI-3b399922</t>
  </si>
  <si>
    <t>Created from Daily Availability</t>
  </si>
  <si>
    <t>▸ FLOWERS (14 items)</t>
  </si>
  <si>
    <t>PUR-AV-bf346898-d5d654b4</t>
  </si>
  <si>
    <t>Home Pickup</t>
  </si>
  <si>
    <t>AD-ITM-LFG-014</t>
  </si>
  <si>
    <t>Market Backup</t>
  </si>
  <si>
    <t>Malabar Spinach (Bachalikura)</t>
  </si>
  <si>
    <t>260909-G002-6</t>
  </si>
  <si>
    <t>AD-ITM-FLW-001</t>
  </si>
  <si>
    <t>AV-bf346898</t>
  </si>
  <si>
    <t>Marigold-Yellow (Banthipoolu)</t>
  </si>
  <si>
    <t>shops</t>
  </si>
  <si>
    <t>AV-59fa27e2</t>
  </si>
  <si>
    <t>AI-e6c9a4df</t>
  </si>
  <si>
    <t>260909-G002-5</t>
  </si>
  <si>
    <t>PUR-AV-ff52ec8f-6fe50e96</t>
  </si>
  <si>
    <t>Kalyan</t>
  </si>
  <si>
    <t>Daily pooja; bulk at festivals</t>
  </si>
  <si>
    <t>AI-cc48377d</t>
  </si>
  <si>
    <t>బంతి పూలు</t>
  </si>
  <si>
    <t>AD-ITM-LEF-012</t>
  </si>
  <si>
    <t>Tamarind Leaves (Chinta Aaku) ⭐</t>
  </si>
  <si>
    <t>AI-9badd870</t>
  </si>
  <si>
    <t>PUR-AV-b49f4be8-c90d2953</t>
  </si>
  <si>
    <t>AP/TS signature; hair &amp; pooja</t>
  </si>
  <si>
    <t>మల్లె పూలు</t>
  </si>
  <si>
    <t>AV-97097696</t>
  </si>
  <si>
    <t>AI-7eea8baf</t>
  </si>
  <si>
    <t>260909-G002-7</t>
  </si>
  <si>
    <t>PUR-AV-97097696-805b84dd</t>
  </si>
  <si>
    <t>Red &amp; pink; temple &amp; gifting</t>
  </si>
  <si>
    <t>AI-f177131f</t>
  </si>
  <si>
    <t>గులాబీ</t>
  </si>
  <si>
    <t>AD-ITM-DRY-001</t>
  </si>
  <si>
    <t>Cow Milk (Aavu Paalu)</t>
  </si>
  <si>
    <t>Market Sale</t>
  </si>
  <si>
    <t>Dairy</t>
  </si>
  <si>
    <t>Litre</t>
  </si>
  <si>
    <t>AD-ITM-FLW-004</t>
  </si>
  <si>
    <t>AV-8d40466e</t>
  </si>
  <si>
    <t>Chrysanthemum (Chamanti)</t>
  </si>
  <si>
    <t>For Pooja</t>
  </si>
  <si>
    <t>260909-G002-8</t>
  </si>
  <si>
    <t>AI-b36ed116</t>
  </si>
  <si>
    <t>AD-ITM-DRY-002</t>
  </si>
  <si>
    <t>Seasonal (winter festival flower)</t>
  </si>
  <si>
    <t>Buffalo Milk (Gedhe Paalu)</t>
  </si>
  <si>
    <t>చామంతి</t>
  </si>
  <si>
    <t>AI-458c28fe</t>
  </si>
  <si>
    <t>AD-ITM-FLW-005</t>
  </si>
  <si>
    <t>AD-ITM-DRY-003</t>
  </si>
  <si>
    <t>Crossandra (Kanakambaram)</t>
  </si>
  <si>
    <t>Goat Milk (Meka Paalu)</t>
  </si>
  <si>
    <t>AV-3884f292</t>
  </si>
  <si>
    <t>PUR-AV-8d40466e-7645ab23</t>
  </si>
  <si>
    <t>for medicinal</t>
  </si>
  <si>
    <t>260909-G002-9</t>
  </si>
  <si>
    <t>Hair decoration; Tamil/Telugu tradition</t>
  </si>
  <si>
    <t>AI-195322d0</t>
  </si>
  <si>
    <t>కనకాంబరం</t>
  </si>
  <si>
    <t>AD-ITM-LEF-013</t>
  </si>
  <si>
    <t>Vavili Leaves (Nishinda Aaku) ⭐</t>
  </si>
  <si>
    <t>AD-ITM-FLW-006</t>
  </si>
  <si>
    <t>Tuberose (Sugandaraja)</t>
  </si>
  <si>
    <t>AI-1ef0fa04</t>
  </si>
  <si>
    <t>AD-ITM-LEF-027</t>
  </si>
  <si>
    <t>Gorenta Leaves (Gorrinta Aaku)</t>
  </si>
  <si>
    <t>Fragrant; garlands</t>
  </si>
  <si>
    <t>PUR-AV-4a7413a8-c75eb338</t>
  </si>
  <si>
    <t>సుగంధరాజ</t>
  </si>
  <si>
    <t>AI-25024473</t>
  </si>
  <si>
    <t>AD-ITM-LEF-035</t>
  </si>
  <si>
    <t>Jilledu Leaves (Jilledu Aaku)</t>
  </si>
  <si>
    <t>AD-ITM-FLW-007</t>
  </si>
  <si>
    <t>Banana Flower (Arati Poovu)</t>
  </si>
  <si>
    <t>Culinary &amp; pooja use</t>
  </si>
  <si>
    <t>AV-46bfaaa2</t>
  </si>
  <si>
    <t>అరటి పూవు</t>
  </si>
  <si>
    <t>AI-1ad54c40</t>
  </si>
  <si>
    <t>PUR-AV-3884f292-5bb31db6</t>
  </si>
  <si>
    <t>260909-G002-11</t>
  </si>
  <si>
    <t>AD-ITM-FLW-008</t>
  </si>
  <si>
    <t>Hibiscus (Mandara / Japa)</t>
  </si>
  <si>
    <t>AI-b35006f6</t>
  </si>
  <si>
    <t>Daily pooja &amp; hair care; very common across AP/TS</t>
  </si>
  <si>
    <t>మందార / జపా</t>
  </si>
  <si>
    <t>PUR-AV-8245cdd6-b4746309</t>
  </si>
  <si>
    <t>AD-ITM-FLW-009</t>
  </si>
  <si>
    <t>AV-8245cdd6</t>
  </si>
  <si>
    <t>Nerium (Ganneru)</t>
  </si>
  <si>
    <t>AI-c9c45a8f</t>
  </si>
  <si>
    <t>260909-G002-12</t>
  </si>
  <si>
    <t>Common for pooja offerings; temple use</t>
  </si>
  <si>
    <t>గన్నేరు</t>
  </si>
  <si>
    <t>AD-ITM-FLW-010</t>
  </si>
  <si>
    <t>Crown Flower (Pichi / Jilledu)</t>
  </si>
  <si>
    <t>Common for pooja; Lord Shiva offerings</t>
  </si>
  <si>
    <t>Local Resale</t>
  </si>
  <si>
    <t>పిచ్చి / జిల్లేడు</t>
  </si>
  <si>
    <t>AV-69a1a64c</t>
  </si>
  <si>
    <t>260909-G002-13</t>
  </si>
  <si>
    <t>AD-ITM-FLW-011</t>
  </si>
  <si>
    <t>Nandi Vardhanam</t>
  </si>
  <si>
    <t>Common pooja flower in Telugu tradition</t>
  </si>
  <si>
    <t>నంది వర్ధనం</t>
  </si>
  <si>
    <t>AV-d119cfcd</t>
  </si>
  <si>
    <t>AD-ITM-FLW-012</t>
  </si>
  <si>
    <t>260909-G002-14</t>
  </si>
  <si>
    <t>Lotus (Tamara Poolu)</t>
  </si>
  <si>
    <t>AI-c0b77412</t>
  </si>
  <si>
    <t>Moved from Pooja Leaves category; used for pooja &amp; decoration</t>
  </si>
  <si>
    <t>Individual Only</t>
  </si>
  <si>
    <t>Compost / Animal Feed</t>
  </si>
  <si>
    <t>తామర పూలు</t>
  </si>
  <si>
    <t>AV-7c590eb7</t>
  </si>
  <si>
    <t>piece</t>
  </si>
  <si>
    <t>260909-G002-15</t>
  </si>
  <si>
    <t>AD-ITM-FLW-013</t>
  </si>
  <si>
    <t>AI-cad07fbe</t>
  </si>
  <si>
    <t>Marigold-Orange (Banthipoolu)</t>
  </si>
  <si>
    <t>PUR-AV-46bfaaa2-df38b24b</t>
  </si>
  <si>
    <t>AI-fba8455e</t>
  </si>
  <si>
    <t>AV-103bfb81</t>
  </si>
  <si>
    <t>AD-ITM-LEF-002</t>
  </si>
  <si>
    <t>Banana Leaf (Arati Aaku)</t>
  </si>
  <si>
    <t>AD-ITM-FLW-014</t>
  </si>
  <si>
    <t>Parijatham</t>
  </si>
  <si>
    <t>260909-G002-16</t>
  </si>
  <si>
    <t>AI-fe83bcf5</t>
  </si>
  <si>
    <t>Seasonal (Festival flower)</t>
  </si>
  <si>
    <t>PUR-AV-69a1a64c-57b031f6</t>
  </si>
  <si>
    <t>Use for  Basket</t>
  </si>
  <si>
    <t>పారిజాతం పూలు</t>
  </si>
  <si>
    <t>AI-ebb6500e</t>
  </si>
  <si>
    <t>AV-66dcfdcd</t>
  </si>
  <si>
    <t>▸ LEAFY GREENS (17 items)</t>
  </si>
  <si>
    <t>PUR-AV-d119cfcd-a56d8984</t>
  </si>
  <si>
    <t>AI-b170d4d9</t>
  </si>
  <si>
    <t>260911-G001-1</t>
  </si>
  <si>
    <t>AD-ITM-LEF-024</t>
  </si>
  <si>
    <t>Hibiscus Leaves (Mandara Aaku)</t>
  </si>
  <si>
    <t>Leafy Greens</t>
  </si>
  <si>
    <t>bundle</t>
  </si>
  <si>
    <t>Year-round availability</t>
  </si>
  <si>
    <t>AI-1919d5cb</t>
  </si>
  <si>
    <t>పాలకూర</t>
  </si>
  <si>
    <t>PUR-AV-7c590eb7-136163bd</t>
  </si>
  <si>
    <t>Use in Basket</t>
  </si>
  <si>
    <t>AV-1b959cec</t>
  </si>
  <si>
    <t>260911-G001-2</t>
  </si>
  <si>
    <t>AI-8f345bba</t>
  </si>
  <si>
    <t>AD-ITM-LFG-002</t>
  </si>
  <si>
    <t>Fenugreek Leaves (Menthi Kura)</t>
  </si>
  <si>
    <t>PUR-AV-103bfb81-4c9d9af0</t>
  </si>
  <si>
    <t>Medicinal; daily use</t>
  </si>
  <si>
    <t>మెంతికూర</t>
  </si>
  <si>
    <t>AI-04b52581</t>
  </si>
  <si>
    <t>AV-71238d38</t>
  </si>
  <si>
    <t>260911-G001-3</t>
  </si>
  <si>
    <t>AI-69584c6e</t>
  </si>
  <si>
    <t>PUR-AV-2e13b130-55e851b7</t>
  </si>
  <si>
    <t>Essential garnish; year-round</t>
  </si>
  <si>
    <t>కొత్తిమీర</t>
  </si>
  <si>
    <t>AV-1142f950</t>
  </si>
  <si>
    <t>AI-bfbde4ad</t>
  </si>
  <si>
    <t>260911-G001-4</t>
  </si>
  <si>
    <t>PUR-AV-59fa27e2-28d39909</t>
  </si>
  <si>
    <t>Chutneys, biryanis</t>
  </si>
  <si>
    <t>పుదీనా</t>
  </si>
  <si>
    <t>AI-db7ef02f</t>
  </si>
  <si>
    <t>AV-3d95fe0b</t>
  </si>
  <si>
    <t>260911-G001-5</t>
  </si>
  <si>
    <t>PUR-AV-4b12c036-c10310ec</t>
  </si>
  <si>
    <t>Festival special</t>
  </si>
  <si>
    <t>AP/TS staple green</t>
  </si>
  <si>
    <t>AI-f1d53f68</t>
  </si>
  <si>
    <t>260911-G001-7</t>
  </si>
  <si>
    <t>తోటకూర</t>
  </si>
  <si>
    <t>AV-4b12c036</t>
  </si>
  <si>
    <t>AV-c54980de</t>
  </si>
  <si>
    <t>AD-ITM-LFG-006</t>
  </si>
  <si>
    <t>AD-ITM-CER-002</t>
  </si>
  <si>
    <t>260911-G001-6</t>
  </si>
  <si>
    <t>Dill Leaves (Soa / Soya Kura)</t>
  </si>
  <si>
    <t>Maize (Mokkajonna)</t>
  </si>
  <si>
    <t>Cereals</t>
  </si>
  <si>
    <t>PUR-AV-71238d38-3c7b03d1</t>
  </si>
  <si>
    <t>Dal tadka; Telugu household</t>
  </si>
  <si>
    <t>AI-bb7470ee</t>
  </si>
  <si>
    <t>సోయ కూర</t>
  </si>
  <si>
    <t>Unavoidable in Telugu cooking</t>
  </si>
  <si>
    <t>కరివేపాకు</t>
  </si>
  <si>
    <t>AV-40332ceb</t>
  </si>
  <si>
    <t>AI-dd3ee69a</t>
  </si>
  <si>
    <t>260911-G001-8</t>
  </si>
  <si>
    <t>PUR-AV-b107f57e-5e1d05d8</t>
  </si>
  <si>
    <t>AD-ITM-LEF-053</t>
  </si>
  <si>
    <t>Aloe Vera (Kalabanda)</t>
  </si>
  <si>
    <t>260911-G001-42</t>
  </si>
  <si>
    <t>AV-b107f57e</t>
  </si>
  <si>
    <t>Nutritious; dal &amp; stir-fry</t>
  </si>
  <si>
    <t>AI-f8df782f</t>
  </si>
  <si>
    <t>మునగాకు</t>
  </si>
  <si>
    <t>AV-88483a5c</t>
  </si>
  <si>
    <t>260911-G001-9</t>
  </si>
  <si>
    <t>PUR-AV-b1d6b3c0-d6f09c5c</t>
  </si>
  <si>
    <t>AI-ccea1e21</t>
  </si>
  <si>
    <t>260911-G001-43</t>
  </si>
  <si>
    <t>AV-b1d6b3c0</t>
  </si>
  <si>
    <t>AV-270e6bc8</t>
  </si>
  <si>
    <t>AP's iconic sour green</t>
  </si>
  <si>
    <t>AI-f5a79660</t>
  </si>
  <si>
    <t>260911-G001-10</t>
  </si>
  <si>
    <t>AD-ITM-MIL-002</t>
  </si>
  <si>
    <t>గోంగూర</t>
  </si>
  <si>
    <t>PUR-AV-686f2053-8e29f086</t>
  </si>
  <si>
    <t>Pearl Millet (Sajjalu)</t>
  </si>
  <si>
    <t>Millets</t>
  </si>
  <si>
    <t>260911-G001-44</t>
  </si>
  <si>
    <t>AD-ITM-LFG-010</t>
  </si>
  <si>
    <t>AV-686f2053</t>
  </si>
  <si>
    <t>Colocasia Leaves (Chamadaaku)</t>
  </si>
  <si>
    <t>Agent Pickup</t>
  </si>
  <si>
    <t>AI-f546717b</t>
  </si>
  <si>
    <t>AD-ITM-MIL-006</t>
  </si>
  <si>
    <t>Barnyard Millet (Udalu)</t>
  </si>
  <si>
    <t>Discount</t>
  </si>
  <si>
    <t>Seasonal (festival dishes); noted in availability</t>
  </si>
  <si>
    <t>AV-2ad25abf</t>
  </si>
  <si>
    <t>PUR-AV-093e8dcc-abce53c2</t>
  </si>
  <si>
    <t>చామడాకు</t>
  </si>
  <si>
    <t>AI-97f1b291</t>
  </si>
  <si>
    <t>260911-G001-11</t>
  </si>
  <si>
    <t>260911-G001-13</t>
  </si>
  <si>
    <t>AD-ITM-MIL-008</t>
  </si>
  <si>
    <t>AV-093e8dcc</t>
  </si>
  <si>
    <t>Foxtail Millet (Korralu)</t>
  </si>
  <si>
    <t>AD-ITM-LFG-011</t>
  </si>
  <si>
    <t>Purslane (Gangavayala Kura)</t>
  </si>
  <si>
    <t>AI-ea6f3316</t>
  </si>
  <si>
    <t>AD-ITM-MIL-004</t>
  </si>
  <si>
    <t>Wild green; AP rural households</t>
  </si>
  <si>
    <t>Little Millet (Samalu)</t>
  </si>
  <si>
    <t>PUR-AV-64a07491-d78e8e4d</t>
  </si>
  <si>
    <t>AV-a53a73ad</t>
  </si>
  <si>
    <t>గంగవయ్యల కూర</t>
  </si>
  <si>
    <t>260911-G001-23</t>
  </si>
  <si>
    <t>260911-G001-12</t>
  </si>
  <si>
    <t>AI-dbe484d9</t>
  </si>
  <si>
    <t>AV-64a07491</t>
  </si>
  <si>
    <t>AD-ITM-MIL-005</t>
  </si>
  <si>
    <t>AD-ITM-LFG-012</t>
  </si>
  <si>
    <t>Kodo Millet (Arikelu)</t>
  </si>
  <si>
    <t>Spring Onion</t>
  </si>
  <si>
    <t>AI-c36a0c99</t>
  </si>
  <si>
    <t>Urban salads &amp; garnish</t>
  </si>
  <si>
    <t>AD-ITM-MIL-003</t>
  </si>
  <si>
    <t>స్ప్రింగ్ ఉల్లి</t>
  </si>
  <si>
    <t>Finger Millet (Ragi)</t>
  </si>
  <si>
    <t>PUR-AV-66dcfdcd-9b7eb98a</t>
  </si>
  <si>
    <t>AD-ITM-LFG-013</t>
  </si>
  <si>
    <t>Mustard Leaves (Ava Kura)</t>
  </si>
  <si>
    <t>AI-bf8cd6e4</t>
  </si>
  <si>
    <t>AD-ITM-MIL-007</t>
  </si>
  <si>
    <t>Proso Millet (Variga)</t>
  </si>
  <si>
    <t>ఆవ కూర</t>
  </si>
  <si>
    <t>AV-e2c36d79</t>
  </si>
  <si>
    <t>260911-G001-14</t>
  </si>
  <si>
    <t>PUR-AV-1b959cec-b79e9663</t>
  </si>
  <si>
    <t>AI-7bf18878</t>
  </si>
  <si>
    <t>AD-ITM-MIL-001</t>
  </si>
  <si>
    <t>Sorghum / Jowar (Jonna)</t>
  </si>
  <si>
    <t>Very popular in AP/TS; pappu, stir-fry &amp; bajji</t>
  </si>
  <si>
    <t>బచ్చలికూర</t>
  </si>
  <si>
    <t>AI-95d24bca</t>
  </si>
  <si>
    <t>AV-ce31c736</t>
  </si>
  <si>
    <t>AD-ITM-LFG-015</t>
  </si>
  <si>
    <t>AD-ITM-FPT-002</t>
  </si>
  <si>
    <t>Ponnaganti Kura (Dwarf Copperleaf)</t>
  </si>
  <si>
    <t>260911-G001-15</t>
  </si>
  <si>
    <t>Jaggery</t>
  </si>
  <si>
    <t>PUR-AV-270e6bc8-25b192bb</t>
  </si>
  <si>
    <t>Farm Pantry</t>
  </si>
  <si>
    <t>Very common in AP/TS households; dal &amp; stir-fry</t>
  </si>
  <si>
    <t>AI-ef05adcd</t>
  </si>
  <si>
    <t>పొన్నగంటి కూర</t>
  </si>
  <si>
    <t>AD-ITM-PUL-003</t>
  </si>
  <si>
    <t>Moong Dal (Pesara Pappu)</t>
  </si>
  <si>
    <t>AD-ITM-LFG-016</t>
  </si>
  <si>
    <t>AV-6a437120</t>
  </si>
  <si>
    <t>Pulses</t>
  </si>
  <si>
    <t>Thotakura Kadalu (Amaranth Stems)</t>
  </si>
  <si>
    <t>260911-G001-16</t>
  </si>
  <si>
    <t>PUR-AV-60bfab9e-062b8148</t>
  </si>
  <si>
    <t>AI-8bbdb2cb</t>
  </si>
  <si>
    <t>Common; cooked as curry in rural AP/TS</t>
  </si>
  <si>
    <t>AD-ITM-PUL-001</t>
  </si>
  <si>
    <t>260911-G001-25</t>
  </si>
  <si>
    <t>Toor Dal / Red Gram (Kandi Pappu)</t>
  </si>
  <si>
    <t>Grower Drop-off</t>
  </si>
  <si>
    <t>AV-60bfab9e</t>
  </si>
  <si>
    <t>తోటకూర కాడలు</t>
  </si>
  <si>
    <t>AI-4a943fec</t>
  </si>
  <si>
    <t>AV-2536b79e</t>
  </si>
  <si>
    <t>AD-ITM-LFG-017</t>
  </si>
  <si>
    <t>Gongura Kadalu (Sorrel Stems)</t>
  </si>
  <si>
    <t>Seasonal; cooked as curry in rural areas</t>
  </si>
  <si>
    <t>260911-G001-17</t>
  </si>
  <si>
    <t>గోంగూర కాడలు</t>
  </si>
  <si>
    <t>PUR-AV-1142f950-5a11bdc2</t>
  </si>
  <si>
    <t>AI-258cf3e5</t>
  </si>
  <si>
    <t>▸ LEAVES (Devotional, Medicinal &amp; Utility Leaves) (27 items)</t>
  </si>
  <si>
    <t>AV-2910db85</t>
  </si>
  <si>
    <t>dozen</t>
  </si>
  <si>
    <t>260911-G001-18</t>
  </si>
  <si>
    <t>AI-ce6b94cc</t>
  </si>
  <si>
    <t>Devotional Core (LEF-001 to 008)</t>
  </si>
  <si>
    <t>PUR-AV-88483a5c-24515ca7</t>
  </si>
  <si>
    <t>AD-ITM-FPT-003</t>
  </si>
  <si>
    <t>Sambar Powder</t>
  </si>
  <si>
    <t>AV-26a8d952</t>
  </si>
  <si>
    <t>PUR-AV-e10db0b1-27c6b761</t>
  </si>
  <si>
    <t>260911-G001-19</t>
  </si>
  <si>
    <t>260911-G001-24</t>
  </si>
  <si>
    <t>AV-e10db0b1</t>
  </si>
  <si>
    <t>Torana; festival essential</t>
  </si>
  <si>
    <t>మామిడి తోలకూర</t>
  </si>
  <si>
    <t>PUR-AV-3d95fe0b-65c00e0f</t>
  </si>
  <si>
    <t>AV-5987700c</t>
  </si>
  <si>
    <t>260911-G001-20</t>
  </si>
  <si>
    <t>Serving plate; pooja &amp; weddings</t>
  </si>
  <si>
    <t>leafy greens</t>
  </si>
  <si>
    <t>అరటి ఆకు</t>
  </si>
  <si>
    <t>PUR-AV-86496cfa-cf8f535a</t>
  </si>
  <si>
    <t>AD-ITM-LEF-003</t>
  </si>
  <si>
    <t>260911-G001-45</t>
  </si>
  <si>
    <t>AV-bd3fdb3d</t>
  </si>
  <si>
    <t>Betel Leaf (Taamboolam)</t>
  </si>
  <si>
    <t>AV-86496cfa</t>
  </si>
  <si>
    <t>260911-G001-21</t>
  </si>
  <si>
    <t>Pooja; post-meal tradition</t>
  </si>
  <si>
    <t>వక్క ఆకు</t>
  </si>
  <si>
    <t>PUR-AV-20e1fe44-dea2db3c</t>
  </si>
  <si>
    <t>260911-G001-46</t>
  </si>
  <si>
    <t>AV-20e1fe44</t>
  </si>
  <si>
    <t>AV-6dee7c84</t>
  </si>
  <si>
    <t>260911-G001-22</t>
  </si>
  <si>
    <t>PUR-AV-a53a73ad-5131fc2d</t>
  </si>
  <si>
    <t>PUR-AV-6dee7c84-0b912058</t>
  </si>
  <si>
    <t>Shiva pooja; Monday staple</t>
  </si>
  <si>
    <t>PUR-AV-bd3fdb3d-e7391365</t>
  </si>
  <si>
    <t>మారేడు ఆకు</t>
  </si>
  <si>
    <t>PUR-AV-2ad25abf-b113fc91</t>
  </si>
  <si>
    <t>Vishnu &amp; daily worship</t>
  </si>
  <si>
    <t>తులసి కొమ్మలు</t>
  </si>
  <si>
    <t>PUR-AV-40332ceb-c690b7d5</t>
  </si>
  <si>
    <t>AD-ITM-LEF-006</t>
  </si>
  <si>
    <t>Neem Leaves (Vepa Aaku)</t>
  </si>
  <si>
    <t>AV-0f0aeca0</t>
  </si>
  <si>
    <t>Ugadi; medicinal &amp; pooja</t>
  </si>
  <si>
    <t>260911-G001-26</t>
  </si>
  <si>
    <t>వేప ఆకు</t>
  </si>
  <si>
    <t>Regu Leaves (Regu Aaku)</t>
  </si>
  <si>
    <t>PUR-AV-2536b79e-94c9f268</t>
  </si>
  <si>
    <t>AV-ffe4451f</t>
  </si>
  <si>
    <t>PUR-AV-5987700c-2040c39b</t>
  </si>
  <si>
    <t>260911-G001-27</t>
  </si>
  <si>
    <t>Seasonal (festival decor &amp; pooja)</t>
  </si>
  <si>
    <t>అశోక ఆకులు</t>
  </si>
  <si>
    <t>PUR-AV-2910db85-0ef7207c</t>
  </si>
  <si>
    <t>AV-e710b7fc</t>
  </si>
  <si>
    <t>AD-ITM-LEF-008</t>
  </si>
  <si>
    <t>Lotus Leaves (Tamara Aaku)</t>
  </si>
  <si>
    <t>260911-G001-28</t>
  </si>
  <si>
    <t>Devotional/decoration; distinct from Lotus flower</t>
  </si>
  <si>
    <t>PUR-AV-0297d417-1568f8f1</t>
  </si>
  <si>
    <t>260911-G001-38</t>
  </si>
  <si>
    <t>తామర ఆకు</t>
  </si>
  <si>
    <t>AV-0297d417</t>
  </si>
  <si>
    <t>AV-dbbc277a</t>
  </si>
  <si>
    <t>260911-G001-29</t>
  </si>
  <si>
    <t>PUR-AV-c54980de-6bf58cc5</t>
  </si>
  <si>
    <t>AV-e552507b</t>
  </si>
  <si>
    <t>260911-G001-30</t>
  </si>
  <si>
    <t>PUR-AV-b6e0d8c7-ea6757cc</t>
  </si>
  <si>
    <t>260911-G001-41</t>
  </si>
  <si>
    <t>AV-b6e0d8c7</t>
  </si>
  <si>
    <t>Donation if Unsold</t>
  </si>
  <si>
    <t>AV-8af3fe4e</t>
  </si>
  <si>
    <t>PUR-AV-8af3fe4e-9a28ce95</t>
  </si>
  <si>
    <t>260911-G001-31</t>
  </si>
  <si>
    <t>Medicinal Leaves (LEF-009 to 035)</t>
  </si>
  <si>
    <t>PUR-AV-b7dc03fa-2e55384c</t>
  </si>
  <si>
    <t>Donation</t>
  </si>
  <si>
    <t>AD-ITM-LEF-009</t>
  </si>
  <si>
    <t>Guava Leaves (Jama Aaku)</t>
  </si>
  <si>
    <t>260911-G001-40</t>
  </si>
  <si>
    <t>AV-3468d2ff</t>
  </si>
  <si>
    <t>AV-b7dc03fa</t>
  </si>
  <si>
    <t>260911-G001-32</t>
  </si>
  <si>
    <t>PUR-AV-f05f6383-f3f68f49</t>
  </si>
  <si>
    <t>Stomach ailments; hair growth; herbal tea</t>
  </si>
  <si>
    <t>260911-G001-37</t>
  </si>
  <si>
    <t>జామ ఆకు</t>
  </si>
  <si>
    <t>AV-3d2092d4</t>
  </si>
  <si>
    <t>AV-f05f6383</t>
  </si>
  <si>
    <t>260911-G001-33</t>
  </si>
  <si>
    <t>PUR-AV-0f0aeca0-3df47904</t>
  </si>
  <si>
    <t>Jamun Leaves (Neredu Aaku)</t>
  </si>
  <si>
    <t>Diabetes support; gum/teeth care</t>
  </si>
  <si>
    <t>AV-d693c4a1</t>
  </si>
  <si>
    <t>నేరేడు ఆకు</t>
  </si>
  <si>
    <t>260911-G001-34</t>
  </si>
  <si>
    <t>PUR-AV-dbbc277a-b5691047</t>
  </si>
  <si>
    <t>AD-ITM-LEF-011</t>
  </si>
  <si>
    <t>Papaya Leaves (Boppaya Aaku)</t>
  </si>
  <si>
    <t>Dengue platelet remedy — very famous in AP/TS</t>
  </si>
  <si>
    <t>AV-ca7ec16f</t>
  </si>
  <si>
    <t>బొప్పాయి ఆకు</t>
  </si>
  <si>
    <t>PUR-AV-ffe4451f-483ea603</t>
  </si>
  <si>
    <t>260911-G001-35</t>
  </si>
  <si>
    <t>Tamarind Leaves (Chinta Aaku)</t>
  </si>
  <si>
    <t>AV-b7378c3b</t>
  </si>
  <si>
    <t>Cold/cough; chutney (culinary too)</t>
  </si>
  <si>
    <t>PUR-AV-ca7ec16f-83a0cea7</t>
  </si>
  <si>
    <t>260911-G001-36</t>
  </si>
  <si>
    <t>చింత ఆకు</t>
  </si>
  <si>
    <t>Vavili Leaves (Nishinda Aaku)</t>
  </si>
  <si>
    <t>PUR-AV-e710b7fc-fabbe62c</t>
  </si>
  <si>
    <t>Joint pain; swelling baths — village staple</t>
  </si>
  <si>
    <t>వావిలి ఆకు</t>
  </si>
  <si>
    <t>AD-ITM-LEF-014</t>
  </si>
  <si>
    <t>Tippa Teega (Giloy)</t>
  </si>
  <si>
    <t>PUR-AV-3d2092d4-6811199e</t>
  </si>
  <si>
    <t>Immunity booster — top Ayurvedic item</t>
  </si>
  <si>
    <t>తిప్ప తీగ</t>
  </si>
  <si>
    <t>PUR-AV-e552507b-31626dd1</t>
  </si>
  <si>
    <t>AD-ITM-LEF-015</t>
  </si>
  <si>
    <t>Eucalyptus Leaves (Neelagiri Aaku)</t>
  </si>
  <si>
    <t>AV-45b2cb37</t>
  </si>
  <si>
    <t>260911-G001-39</t>
  </si>
  <si>
    <t>Steam inhalation; cold/congestion</t>
  </si>
  <si>
    <t>నీలగిరి ఆకు</t>
  </si>
  <si>
    <t>PUR-AV-26a8d952-e1e36440</t>
  </si>
  <si>
    <t>AD-ITM-LEF-016</t>
  </si>
  <si>
    <t>Lemon Leaves (Nimma Aaku)</t>
  </si>
  <si>
    <t>Digestion; aroma</t>
  </si>
  <si>
    <t>PUR-AV-45b2cb37-7cff3e59</t>
  </si>
  <si>
    <t>నిమ్మ ఆకు</t>
  </si>
  <si>
    <t>PUR-AV-3468d2ff-102abb15</t>
  </si>
  <si>
    <t>Digestive remedies</t>
  </si>
  <si>
    <t>దానిమ్మ ఆకు</t>
  </si>
  <si>
    <t>PUR-AV-b7378c3b-b14acc64</t>
  </si>
  <si>
    <t>Hair care; traditional remedies</t>
  </si>
  <si>
    <t>ఉసిరి ఆకు</t>
  </si>
  <si>
    <t>PUR-AV-d693c4a1-063965b0</t>
  </si>
  <si>
    <t>AD-ITM-LEF-019</t>
  </si>
  <si>
    <t>Custard Apple Leaves (Seethaphal Aaku)</t>
  </si>
  <si>
    <t>Traditional insecticide; skin use</t>
  </si>
  <si>
    <t>సీతాఫలం ఆకు</t>
  </si>
  <si>
    <t>PUR-AV-ce31c736-63faff63</t>
  </si>
  <si>
    <t>AD-ITM-LEF-020</t>
  </si>
  <si>
    <t>Wood Apple Leaves (Velaga Aaku)</t>
  </si>
  <si>
    <t>litre</t>
  </si>
  <si>
    <t>Diabetes remedies (Telangana traditional)</t>
  </si>
  <si>
    <t>PUR-AV-6a437120-070e55c4</t>
  </si>
  <si>
    <t>వెలగ ఆకు</t>
  </si>
  <si>
    <t>AD-ITM-LEF-021</t>
  </si>
  <si>
    <t>Turmeric Leaves (Pasupu Aaku)</t>
  </si>
  <si>
    <t>PUR-AV-e2c36d79-d330425f</t>
  </si>
  <si>
    <t>Culinary (paturi/wrapping); skin use</t>
  </si>
  <si>
    <t>పసుపు ఆకు</t>
  </si>
  <si>
    <t>PUR-AV-9d08e5a4-659086b2</t>
  </si>
  <si>
    <t>260912-G001-5</t>
  </si>
  <si>
    <t>AV-9d08e5a4</t>
  </si>
  <si>
    <t>Asthma/wounds; devotional (sacred tree)</t>
  </si>
  <si>
    <t>రావి ఆకు</t>
  </si>
  <si>
    <t>PUR-AV-b1866dc0-5445f60f</t>
  </si>
  <si>
    <t>AV-5e9e6a7c</t>
  </si>
  <si>
    <t>AD-ITM-LEF-023</t>
  </si>
  <si>
    <t>260912-G001-10</t>
  </si>
  <si>
    <t>Banyan Leaves (Marri Aaku)</t>
  </si>
  <si>
    <t>AV-b1866dc0</t>
  </si>
  <si>
    <t>260912-G001-1</t>
  </si>
  <si>
    <t>Skin remedies; devotional (sacred tree)</t>
  </si>
  <si>
    <t>మర్రి ఆకు</t>
  </si>
  <si>
    <t>PUR-AV-ae640de5-0f36fbe9</t>
  </si>
  <si>
    <t>260912-G001-6</t>
  </si>
  <si>
    <t>AV-ae640de5</t>
  </si>
  <si>
    <t>AV-698ffc9f</t>
  </si>
  <si>
    <t>Hair care (pairs with your Mandara flower)</t>
  </si>
  <si>
    <t>మందార ఆకు</t>
  </si>
  <si>
    <t>PUR-AV-d10dfc0f-32eaace1</t>
  </si>
  <si>
    <t>260912-G001-8</t>
  </si>
  <si>
    <t>AD-ITM-LEF-044</t>
  </si>
  <si>
    <t>AV-d10dfc0f</t>
  </si>
  <si>
    <t>Vaminta aaku</t>
  </si>
  <si>
    <t>260912-G001-2</t>
  </si>
  <si>
    <t>rich nutritional and healing properties.</t>
  </si>
  <si>
    <t>PUR-AV-f5dcb47b-cf87fa04</t>
  </si>
  <si>
    <t>260912-G001-11</t>
  </si>
  <si>
    <t>AV-f5dcb47b</t>
  </si>
  <si>
    <t>వామింట ఆకు</t>
  </si>
  <si>
    <t>AV-019653b8</t>
  </si>
  <si>
    <t>PUR-AV-d88a7087-d3116076</t>
  </si>
  <si>
    <t>260912-G001-3</t>
  </si>
  <si>
    <t>AD-ITM-LEF-045</t>
  </si>
  <si>
    <t>260912-G001-4</t>
  </si>
  <si>
    <t>Gunta Galijeru</t>
  </si>
  <si>
    <t>AV-d88a7087</t>
  </si>
  <si>
    <t>promoting hair growth, strengthening bones, and detoxifying the body</t>
  </si>
  <si>
    <t>PUR-AV-07abe61e-ec024e8c</t>
  </si>
  <si>
    <t>గలిజేరు ఆకు</t>
  </si>
  <si>
    <t>260912-G001-13</t>
  </si>
  <si>
    <t>AV-07abe61e</t>
  </si>
  <si>
    <t>AD-ITM-LEF-046</t>
  </si>
  <si>
    <t xml:space="preserve">Chakramuni </t>
  </si>
  <si>
    <t>PUR-AV-8a070498-bb4af351</t>
  </si>
  <si>
    <t>nutrient-dense leafy green packed with health benefits</t>
  </si>
  <si>
    <t>260912-G001-7</t>
  </si>
  <si>
    <t xml:space="preserve">చక్రముని </t>
  </si>
  <si>
    <t>AV-8a070498</t>
  </si>
  <si>
    <t>AD-ITM-LEF-047</t>
  </si>
  <si>
    <t>Gaddi Chamanthi</t>
  </si>
  <si>
    <t>powerful medicinal and traditional Ayurvedic benefits</t>
  </si>
  <si>
    <t>నల్లారం,గాయపాకు</t>
  </si>
  <si>
    <t>PUR-AV-d36c47e2-68f369bf</t>
  </si>
  <si>
    <t>AD-ITM-LEF-048</t>
  </si>
  <si>
    <t>Addasaram</t>
  </si>
  <si>
    <t>260912-G001-9</t>
  </si>
  <si>
    <t>AV-d36c47e2</t>
  </si>
  <si>
    <t>respiratory and overall health</t>
  </si>
  <si>
    <t>అడ్డసరం</t>
  </si>
  <si>
    <t>PUR-AV-698ffc9f-92bd5d5f</t>
  </si>
  <si>
    <t>AD-ITM-LEF-049</t>
  </si>
  <si>
    <t>Green chiretta (Nelavemu)</t>
  </si>
  <si>
    <t>boost immunity and fight viral infections</t>
  </si>
  <si>
    <t xml:space="preserve">నేలవేము </t>
  </si>
  <si>
    <t>PUR-AV-d0ea6418-9e5e93a0</t>
  </si>
  <si>
    <t>AD-ITM-LEF-050</t>
  </si>
  <si>
    <t xml:space="preserve">Podapatri (Gurmar) </t>
  </si>
  <si>
    <t>260912-G001-12</t>
  </si>
  <si>
    <t>AV-d0ea6418</t>
  </si>
  <si>
    <t>stops your tongue from tasting sweet flavors.</t>
  </si>
  <si>
    <t>PUR-AV-019653b8-0609e63c</t>
  </si>
  <si>
    <t>పొడపత్రి</t>
  </si>
  <si>
    <t>AD-ITM-LEF-051</t>
  </si>
  <si>
    <t>Thummi Chettu</t>
  </si>
  <si>
    <t>PUR-AV-5e9e6a7c-d651d4e2</t>
  </si>
  <si>
    <t xml:space="preserve"> relieve cough, cold, asthma, and bronchitis.</t>
  </si>
  <si>
    <t>తుమ్మి చెట్టు)</t>
  </si>
  <si>
    <t>AD-ITM-LEF-052</t>
  </si>
  <si>
    <t>Kuupintaku</t>
  </si>
  <si>
    <t>PUR-AV-1b3c5165-75f01bc4</t>
  </si>
  <si>
    <t xml:space="preserve"> skin issues, toothaches, and respiratory discomfort</t>
  </si>
  <si>
    <t>260912-G001-15</t>
  </si>
  <si>
    <t>కుప్పింటాకు</t>
  </si>
  <si>
    <t>AV-1b3c5165</t>
  </si>
  <si>
    <t>PUR-AV-403b0d8c-64f8277c</t>
  </si>
  <si>
    <t>Head aches Skin</t>
  </si>
  <si>
    <t>260912-G001-14</t>
  </si>
  <si>
    <t>కలబంద</t>
  </si>
  <si>
    <t>AV-403b0d8c</t>
  </si>
  <si>
    <t>AD-ITM-LEF-054</t>
  </si>
  <si>
    <t>Nalleru</t>
  </si>
  <si>
    <t>PUR-AV-4b299e5b-0882ce3e</t>
  </si>
  <si>
    <t>260912-G001-16</t>
  </si>
  <si>
    <t>AV-4b299e5b</t>
  </si>
  <si>
    <t xml:space="preserve"> healing bone fractures, strengthening joints, and improving digestion</t>
  </si>
  <si>
    <t xml:space="preserve">నల్లేరు </t>
  </si>
  <si>
    <t>PUR-AV-f4a1a52d-4d6da998</t>
  </si>
  <si>
    <t>260912-G001-17</t>
  </si>
  <si>
    <t>AV-f4a1a52d</t>
  </si>
  <si>
    <t>PUR-AV-f6916d88-831b7a06</t>
  </si>
  <si>
    <t>AD-ITM-LEF-055</t>
  </si>
  <si>
    <t>260914-G001-1</t>
  </si>
  <si>
    <t>Shatavari / Pilli Gaddalu</t>
  </si>
  <si>
    <t>AV-f6916d88</t>
  </si>
  <si>
    <t>supporting the female reproductive system, promoting hormonal balance, and enhancing overall vitality</t>
  </si>
  <si>
    <t>చందమామ గడ్డలు, పిల్లి పీచర గడ్డలు ,పిల్లి గడ్డలు</t>
  </si>
  <si>
    <t>PUR-AV-4a64dc45-9e3ba453</t>
  </si>
  <si>
    <t>260916-G001-1</t>
  </si>
  <si>
    <t>AV-4a64dc45</t>
  </si>
  <si>
    <t>Additional Devotional / Utility (LEF-025 to 041)</t>
  </si>
  <si>
    <t>PUR-AV-ca6ca748-0b053f19</t>
  </si>
  <si>
    <t>260923-G001-1</t>
  </si>
  <si>
    <t>AV-ca6ca748</t>
  </si>
  <si>
    <t>Ganesh pooja; Vinayaka Chavithi</t>
  </si>
  <si>
    <t>గరిక</t>
  </si>
  <si>
    <t>PUR-AV-b084c287-487277b5</t>
  </si>
  <si>
    <t>260924-G001-1</t>
  </si>
  <si>
    <t>AD-ITM-LEF-026</t>
  </si>
  <si>
    <t>AV-b084c287</t>
  </si>
  <si>
    <t>Pooja Grass (Darbha)</t>
  </si>
  <si>
    <t>Essential for Hindu rituals, homas &amp; shraddha</t>
  </si>
  <si>
    <t>దర్భ గడ్డి</t>
  </si>
  <si>
    <t>PUR-AV-8192c2f7-73a3f3e9</t>
  </si>
  <si>
    <t>260924-G001-2</t>
  </si>
  <si>
    <t>Inventory_ID</t>
  </si>
  <si>
    <t>AV-8192c2f7</t>
  </si>
  <si>
    <t>Used for making donnalu (traditional plates/cups); festivals</t>
  </si>
  <si>
    <t>గోరింటాకు</t>
  </si>
  <si>
    <t>PUR-AV-bef34e00-00d99c92</t>
  </si>
  <si>
    <t>260924-G001-3</t>
  </si>
  <si>
    <t>AV-bef34e00</t>
  </si>
  <si>
    <t>అపామార్గ ఆకు / ఉత్తరేణి</t>
  </si>
  <si>
    <t>PUR-AV-5360bfec-205a8fcf</t>
  </si>
  <si>
    <t>Purchase_ID</t>
  </si>
  <si>
    <t>260928-G001-2</t>
  </si>
  <si>
    <t>AD-ITM-LEF-029</t>
  </si>
  <si>
    <t>AV-5360bfec</t>
  </si>
  <si>
    <t>PUR-AV-38d50f85-edc15672</t>
  </si>
  <si>
    <t>గన్నేరు ఆకు</t>
  </si>
  <si>
    <t>260928-G001-6</t>
  </si>
  <si>
    <t>AV-38d50f85</t>
  </si>
  <si>
    <t>Total_Qty</t>
  </si>
  <si>
    <t>PUR-AV-e46eaf8a-770815f8</t>
  </si>
  <si>
    <t>జమ్మి ఆకు</t>
  </si>
  <si>
    <t>Customer  Selling Price</t>
  </si>
  <si>
    <t>260928-G001-3</t>
  </si>
  <si>
    <t>AV-e46eaf8a</t>
  </si>
  <si>
    <t>Individual_Reserved_Qty</t>
  </si>
  <si>
    <t>Basket_Reserved_Qty</t>
  </si>
  <si>
    <t>PUR-AV-ef2fb912-96cf947a</t>
  </si>
  <si>
    <t>Remaining_Qty</t>
  </si>
  <si>
    <t>రేగు ఆకు</t>
  </si>
  <si>
    <t>260928-G001-5</t>
  </si>
  <si>
    <t>AV-ef2fb912</t>
  </si>
  <si>
    <t>Stock_Status</t>
  </si>
  <si>
    <t>Added_Date</t>
  </si>
  <si>
    <t>PUR-AV-c3d2978c-e966e659</t>
  </si>
  <si>
    <t>Stock_Channel</t>
  </si>
  <si>
    <t>మరువము ఆకు</t>
  </si>
  <si>
    <t>260928-G001-4</t>
  </si>
  <si>
    <t>AV-c3d2978c</t>
  </si>
  <si>
    <t>AI_Description</t>
  </si>
  <si>
    <t>Health_Benefits</t>
  </si>
  <si>
    <t>PUR-AV-b3823606-33e5a3d0</t>
  </si>
  <si>
    <t>Health_Tags</t>
  </si>
  <si>
    <t>260928-G001-1</t>
  </si>
  <si>
    <t>విష్ణుక్రాంత ఆకు</t>
  </si>
  <si>
    <t>AV-b3823606</t>
  </si>
  <si>
    <t>Wellness_Goals</t>
  </si>
  <si>
    <t>Organic</t>
  </si>
  <si>
    <t>PUR-AV-5e70a0d7-83ad4c3c</t>
  </si>
  <si>
    <t>260928-G001-7</t>
  </si>
  <si>
    <t>ఉమ్మెత్త ఆకు</t>
  </si>
  <si>
    <t>Pack_Size</t>
  </si>
  <si>
    <t>AV-5e70a0d7</t>
  </si>
  <si>
    <t>Pack_Price</t>
  </si>
  <si>
    <t>PUR-AV-0aae4f3e-6d60e9db</t>
  </si>
  <si>
    <t>INV-361230af</t>
  </si>
  <si>
    <t>260928-G001-8</t>
  </si>
  <si>
    <t>AV-0aae4f3e</t>
  </si>
  <si>
    <t>జిల్లేడు ఆకు</t>
  </si>
  <si>
    <t>PUR-AV-cf3bc0fa-883a5e64</t>
  </si>
  <si>
    <t>261001-G001-1</t>
  </si>
  <si>
    <t>AV-cf3bc0fa</t>
  </si>
  <si>
    <t>జాజి ఆకు</t>
  </si>
  <si>
    <t>PUR-AV-a3ab6abe-42451c57</t>
  </si>
  <si>
    <t>261001-G001-2</t>
  </si>
  <si>
    <t>Available</t>
  </si>
  <si>
    <t>AV-a3ab6abe</t>
  </si>
  <si>
    <t>మాచిపత్రి ఆకు</t>
  </si>
  <si>
    <t>PUR-AV-149cddb3-82ee7ec6</t>
  </si>
  <si>
    <t>261001-G001-3</t>
  </si>
  <si>
    <t>AV-149cddb3</t>
  </si>
  <si>
    <t>Toor Dal (Kandi Pappu)</t>
  </si>
  <si>
    <t>AD-ITM-LEF-039</t>
  </si>
  <si>
    <t>PUR-AV-0b0a244b-11837665</t>
  </si>
  <si>
    <t>Nandivardhanam Leaves (Nandivardhanam Aaku)</t>
  </si>
  <si>
    <t>261003-G001-1</t>
  </si>
  <si>
    <t>AV-0b0a244b</t>
  </si>
  <si>
    <t>నందివర్ధనం ఆకు</t>
  </si>
  <si>
    <t>PUR-AV-d0786363-cc4831d3</t>
  </si>
  <si>
    <t>Both</t>
  </si>
  <si>
    <t>261006-G001-1</t>
  </si>
  <si>
    <t>AV-d0786363</t>
  </si>
  <si>
    <t>1Mp6H_04qbFtWzqDh8UHN6oCmxvBghtCP</t>
  </si>
  <si>
    <t>Ridge gourd is a nutrient-dense vegetable rich in dietary fiber and essential vitamins that support overall wellness. It is naturally very low in calories and has a high water content, making it a great addition to light meals.</t>
  </si>
  <si>
    <t>PUR-AV-28af26ca-a8bb5526</t>
  </si>
  <si>
    <t>High-Fiber, Hydrating, Low-Calorie, Vitamin-C</t>
  </si>
  <si>
    <t>మోదుగ ఆకు</t>
  </si>
  <si>
    <t>261006-G002-2</t>
  </si>
  <si>
    <t>AV-28af26ca</t>
  </si>
  <si>
    <t>Weight-Conscious Choices, Digestive Wellness, Hydration, Daily Nutrition</t>
  </si>
  <si>
    <t>Brihati Patra (Brihati Aaku)</t>
  </si>
  <si>
    <t>బృహతీ ఆకు</t>
  </si>
  <si>
    <t>AD-ITM-LEF-042</t>
  </si>
  <si>
    <t>INV-a4f892ab</t>
  </si>
  <si>
    <t>Mountain Knot Grass (Konda pindi aaku)</t>
  </si>
  <si>
    <t>to help cleanse the kidneys and dissolve small kidney stones</t>
  </si>
  <si>
    <t>కొండపిండి ఆకు</t>
  </si>
  <si>
    <t>AD-ITM-LEF-043</t>
  </si>
  <si>
    <t xml:space="preserve">Ranapala aaku </t>
  </si>
  <si>
    <t>రణపాల మొక్క</t>
  </si>
  <si>
    <t>DAIRY(3 items)</t>
  </si>
  <si>
    <t>DAIRY</t>
  </si>
  <si>
    <t>LITRE</t>
  </si>
  <si>
    <t>Widely consumed; daily staple across AP/TS</t>
  </si>
  <si>
    <t>ఆవు పాలు</t>
  </si>
  <si>
    <t>1_VyieltHjfIqUsW7tbn5gV3YXFLmJ1N5</t>
  </si>
  <si>
    <t>Okra is naturally low in calories and packed with dietary fiber, making it a nutritious addition to your daily meals.</t>
  </si>
  <si>
    <t>Higher fat content; preferred for sweets &amp; ghee</t>
  </si>
  <si>
    <t>గేదె పాలు</t>
  </si>
  <si>
    <t>High-Fiber, Low-Calorie, Vitamin-C, Folate-Rich</t>
  </si>
  <si>
    <t>Weight-Conscious Choices, Digestive Wellness, Daily Nutrition</t>
  </si>
  <si>
    <t>Niche/health segment; often used for infants &amp; medicinal purposes</t>
  </si>
  <si>
    <t>మేక పాలు</t>
  </si>
  <si>
    <t>▸ PULSES (16 items)</t>
  </si>
  <si>
    <t>INV-6cecd5ae</t>
  </si>
  <si>
    <t>Telangana is a top producer nationally; daily staple</t>
  </si>
  <si>
    <t>కంది పప్పు</t>
  </si>
  <si>
    <t>AD-ITM-PUL-002</t>
  </si>
  <si>
    <t>Bengal Gram / Chana Dal (Senaga Pappu)</t>
  </si>
  <si>
    <t>Major Telangana crop (Nalgonda, Mahabubnagar belts)</t>
  </si>
  <si>
    <t>శనగ పప్పు</t>
  </si>
  <si>
    <t>Widely grown; used in pesarattu, pappu, sprouts</t>
  </si>
  <si>
    <t>పెసర పప్పు</t>
  </si>
  <si>
    <t>AD-ITM-PUL-004</t>
  </si>
  <si>
    <t>Black Gram / Urad Dal (Minapa Pappu)</t>
  </si>
  <si>
    <t>Key ingredient for idli/dosa batter &amp; garelu</t>
  </si>
  <si>
    <t>1ogOaz4fXHS8oCtKXAkt3ZuOjLHnN48VU</t>
  </si>
  <si>
    <t>మినప పప్పు</t>
  </si>
  <si>
    <t>Mango leaves contain beneficial plant compounds and antioxidants that support overall well-being. They make a traditional addition to festive and wellness practices.</t>
  </si>
  <si>
    <t>AD-ITM-PUL-005</t>
  </si>
  <si>
    <t>Whole Black Gram (Uddulu)</t>
  </si>
  <si>
    <t>Antioxidants, Vitamin-C</t>
  </si>
  <si>
    <t>Used whole in curries &amp; festival dishes</t>
  </si>
  <si>
    <t>ఉద్దులు</t>
  </si>
  <si>
    <t>Immune Nutrition, Daily Nutrition</t>
  </si>
  <si>
    <t>AD-ITM-PUL-006</t>
  </si>
  <si>
    <t>Whole Green Gram (Pesalu)</t>
  </si>
  <si>
    <t>Sprouts &amp; curries; common household staple</t>
  </si>
  <si>
    <t>పెసలు</t>
  </si>
  <si>
    <t>AD-ITM-PUL-007</t>
  </si>
  <si>
    <t>Horse Gram (Ulavalu)</t>
  </si>
  <si>
    <t>INV-fb00aa2e</t>
  </si>
  <si>
    <t>Traditional Telangana crop; famous ulava charu</t>
  </si>
  <si>
    <t>ఉలవలు</t>
  </si>
  <si>
    <t>Kidney stone remedy; weight management</t>
  </si>
  <si>
    <t>AD-ITM-PUL-008</t>
  </si>
  <si>
    <t>Red Lentil (Masoor Dal)</t>
  </si>
  <si>
    <t>Popular for quick-cooking dal</t>
  </si>
  <si>
    <t>మసూర్ పప్పు</t>
  </si>
  <si>
    <t>AD-ITM-PUL-009</t>
  </si>
  <si>
    <t>Kidney Beans (Rajma)</t>
  </si>
  <si>
    <t>Urban demand; north Indian dish popularity</t>
  </si>
  <si>
    <t>రాజ్మా</t>
  </si>
  <si>
    <t>AD-ITM-PUL-010</t>
  </si>
  <si>
    <t>Field Bean / Mochai (Anumulu)</t>
  </si>
  <si>
    <t>Regional pulse; curries &amp; sundal</t>
  </si>
  <si>
    <t>అనుములు</t>
  </si>
  <si>
    <t>AD-ITM-PUL-011</t>
  </si>
  <si>
    <t>Cowpea / Black-eyed Pea (Alasandalu)</t>
  </si>
  <si>
    <t>Dried form of Alsandikai bean; Telangana staple</t>
  </si>
  <si>
    <t>అలసందలు</t>
  </si>
  <si>
    <t>1Kw1UpVsq7XhIVjOZnsdD58c7cq89kEGX</t>
  </si>
  <si>
    <t>AD-ITM-PUL-012</t>
  </si>
  <si>
    <t>Split Bengal Gram (Pachi Senagalu)</t>
  </si>
  <si>
    <t>Jamun leaves are rich in beneficial plant compounds and antioxidants that support overall wellness. They offer a traditional way to enhance daily nutritional routines.</t>
  </si>
  <si>
    <t>Used in chutneys, tempering &amp; snacks</t>
  </si>
  <si>
    <t>పచ్చి శనగలు</t>
  </si>
  <si>
    <t>Antioxidants, High-Fiber</t>
  </si>
  <si>
    <t>AD-ITM-PUL-013</t>
  </si>
  <si>
    <t>Soybean (Soya Chunks/Beans)</t>
  </si>
  <si>
    <t>Daily Nutrition, Immune Nutrition</t>
  </si>
  <si>
    <t>Growing demand; protein substitute in curries</t>
  </si>
  <si>
    <t>సోయా గింజలు</t>
  </si>
  <si>
    <t>AD-ITM-PUL-014</t>
  </si>
  <si>
    <t>Kabuli Chana</t>
  </si>
  <si>
    <t>Medium-high demand; curries &amp; chole</t>
  </si>
  <si>
    <t>కాబూలి శనగలు</t>
  </si>
  <si>
    <t>AD-ITM-PUL-015</t>
  </si>
  <si>
    <t>Black Chana Whole (Senagalu)</t>
  </si>
  <si>
    <t>INV-9df87fce</t>
  </si>
  <si>
    <t>High demand; distinct from Chana Dal, used whole</t>
  </si>
  <si>
    <t>శనగలు</t>
  </si>
  <si>
    <t>AD-ITM-PUL-016</t>
  </si>
  <si>
    <t>Green Peas, Dry (Batani)</t>
  </si>
  <si>
    <t>Medium demand; curries &amp; snacks</t>
  </si>
  <si>
    <t>బఠానీలు</t>
  </si>
  <si>
    <t>▸ CEREALS (14 items)</t>
  </si>
  <si>
    <t>AD-ITM-CER-001</t>
  </si>
  <si>
    <t>Rice (Biyyam)</t>
  </si>
  <si>
    <t>Telangana's core staple crop &amp; largest food grain</t>
  </si>
  <si>
    <t>బియ్యం</t>
  </si>
  <si>
    <t>Major Telangana commercial crop</t>
  </si>
  <si>
    <t>మొక్కజొన్న గింజలు</t>
  </si>
  <si>
    <t>AD-ITM-CER-003</t>
  </si>
  <si>
    <t>Wheat (Godhuma)</t>
  </si>
  <si>
    <t>1LE-9jlYMbTi_ibhUSMuJl2Z6tT2FwypE</t>
  </si>
  <si>
    <t>Staple for chapatis; widely consumed</t>
  </si>
  <si>
    <t>Doob grass is traditionally consumed as fresh juice and provides beneficial plant compounds and antioxidants to support overall vitality.</t>
  </si>
  <si>
    <t>గోధుమలు</t>
  </si>
  <si>
    <t>Antioxidants, Low-Calorie, Hydrating</t>
  </si>
  <si>
    <t>AD-ITM-CER-004</t>
  </si>
  <si>
    <t>Broken Rice (Nuka Biyyam)</t>
  </si>
  <si>
    <t>Daily Nutrition, Digestive Wellness</t>
  </si>
  <si>
    <t>Common budget staple; also used in poultry/animal feed</t>
  </si>
  <si>
    <t>నూక బియ్యం</t>
  </si>
  <si>
    <t>AD-ITM-CER-005</t>
  </si>
  <si>
    <t>Sona Masoori Rice</t>
  </si>
  <si>
    <t>Very high availability &amp; demand; Telangana's most popular rice variety</t>
  </si>
  <si>
    <t>సోనా మసూరి బియ్యం</t>
  </si>
  <si>
    <t>INV-b262a545</t>
  </si>
  <si>
    <t>AD-ITM-CER-006</t>
  </si>
  <si>
    <t>HMT Rice</t>
  </si>
  <si>
    <t>High demand premium rice variety</t>
  </si>
  <si>
    <t>HMT బియ్యం</t>
  </si>
  <si>
    <t>AD-ITM-CER-007</t>
  </si>
  <si>
    <t>Telangana Sona Rice</t>
  </si>
  <si>
    <t>State-promoted rice variety; high demand</t>
  </si>
  <si>
    <t>తెలంగాణ సోనా బియ్యం</t>
  </si>
  <si>
    <t>AD-ITM-CER-008</t>
  </si>
  <si>
    <t>BPT Rice</t>
  </si>
  <si>
    <t>Widely grown &amp; consumed variety</t>
  </si>
  <si>
    <t>BPT బియ్యం</t>
  </si>
  <si>
    <t>AD-ITM-CER-009</t>
  </si>
  <si>
    <t>Brown Rice</t>
  </si>
  <si>
    <t>Growing demand from health-conscious buyers</t>
  </si>
  <si>
    <t>బ్రౌన్ రైస్ / ఉసుకతో బియ్యం</t>
  </si>
  <si>
    <t>AD-ITM-CER-010</t>
  </si>
  <si>
    <t>1AHLb93-VHDz3zxa7pJozE5x__nM76Ykj</t>
  </si>
  <si>
    <t>Boiled Rice (Uppudu Biyyam)</t>
  </si>
  <si>
    <t>Lemons are an excellent source of vitamin C and help keep you refreshed and hydrated throughout the day.</t>
  </si>
  <si>
    <t>High availability; common parboiled variety</t>
  </si>
  <si>
    <t>ఉప్పుడు బియ్యం</t>
  </si>
  <si>
    <t>Vitamin-C, Hydrating, Low-Calorie, Antioxidants</t>
  </si>
  <si>
    <t>AD-ITM-CER-011</t>
  </si>
  <si>
    <t>Hydration, Immune Nutrition, Skin Wellness, Daily Nutrition</t>
  </si>
  <si>
    <t>Hand-pounded Rice (Dampudu Biyyam)</t>
  </si>
  <si>
    <t>High demand among health-conscious households</t>
  </si>
  <si>
    <t>దంపుడు బియ్యం</t>
  </si>
  <si>
    <t>AD-ITM-CER-012</t>
  </si>
  <si>
    <t>Kolam Rice</t>
  </si>
  <si>
    <t>Medium availability; regional favorite</t>
  </si>
  <si>
    <t>INV-e6837ad8</t>
  </si>
  <si>
    <t>కోలం బియ్యం</t>
  </si>
  <si>
    <t>▸ GRAINS (2 items)</t>
  </si>
  <si>
    <t>AD-ITM-GRN-001</t>
  </si>
  <si>
    <t>Broken Wheat / Dalia (Godhuma Rava)</t>
  </si>
  <si>
    <t>Grains</t>
  </si>
  <si>
    <t>High availability; porridge &amp; upma use</t>
  </si>
  <si>
    <t>గోధుమ రవ్వ</t>
  </si>
  <si>
    <t>Out Of Stock</t>
  </si>
  <si>
    <t>AD-ITM-GRN-002</t>
  </si>
  <si>
    <t>Maize Rava</t>
  </si>
  <si>
    <t>Medium demand; upma &amp; porridge use</t>
  </si>
  <si>
    <t>మొక్కజొన్న రవ్వ</t>
  </si>
  <si>
    <t>1ttw9n4VUm57nTuBWEh7wop53mdI6x4nZ</t>
  </si>
  <si>
    <t>▸ FARM PANTRY (1 items)</t>
  </si>
  <si>
    <t>Guavas are packed with Vitamin C and dietary fiber, supporting overall vitality and healthy digestion.</t>
  </si>
  <si>
    <t>AD-ITM-FPT-001</t>
  </si>
  <si>
    <t>Raw Wildflower Honey</t>
  </si>
  <si>
    <t>Vitamin-C, High-Fiber, Hydrating, Low-Calorie</t>
  </si>
  <si>
    <t>Digestive Wellness, Immune Nutrition, Weight-Conscious Choices, Daily Nutrition</t>
  </si>
  <si>
    <t>Raw, unheated, enzyme-rich; batch-tested</t>
  </si>
  <si>
    <t>తేనె</t>
  </si>
  <si>
    <t>Antimicrobial, throat soothing, natural prebiotic</t>
  </si>
  <si>
    <t>Plan_ID</t>
  </si>
  <si>
    <t>Plan_Date</t>
  </si>
  <si>
    <t>Rich in iron and minerals, natural alternative to refined sugar</t>
  </si>
  <si>
    <t>INV-c7760738</t>
  </si>
  <si>
    <t>Basket_ID</t>
  </si>
  <si>
    <t>బెల్లం</t>
  </si>
  <si>
    <t>Basket_Name</t>
  </si>
  <si>
    <t>Basket_Purpose</t>
  </si>
  <si>
    <t>Item_1_Inventory_ID</t>
  </si>
  <si>
    <t>Item_1_Name</t>
  </si>
  <si>
    <t>Freshly roasted &amp; ground</t>
  </si>
  <si>
    <t>Item_1_Category</t>
  </si>
  <si>
    <t>సాంబార్ పొడి</t>
  </si>
  <si>
    <t>Item_1_Qty</t>
  </si>
  <si>
    <t>Item_1_Unit</t>
  </si>
  <si>
    <t>▸ MILLETS (8 items)</t>
  </si>
  <si>
    <t>Item_2_Inventory_ID</t>
  </si>
  <si>
    <t>Item_2_Name</t>
  </si>
  <si>
    <t>Item_2_Category</t>
  </si>
  <si>
    <t>Traditional dryland crop; rotis &amp; rural staple</t>
  </si>
  <si>
    <t>Item_2_Qty</t>
  </si>
  <si>
    <t>జొన్న</t>
  </si>
  <si>
    <t>Item_2_Unit</t>
  </si>
  <si>
    <t>a nutrient-dense, gluten-certified ancient millet</t>
  </si>
  <si>
    <t>Item_3_Inventory_ID</t>
  </si>
  <si>
    <t>Item_3_Name</t>
  </si>
  <si>
    <t>Widely grown in Telangana drylands</t>
  </si>
  <si>
    <t>Item_3_Category</t>
  </si>
  <si>
    <t>సజ్జలు</t>
  </si>
  <si>
    <t>Item_3_Qty</t>
  </si>
  <si>
    <t>Item_3_Unit</t>
  </si>
  <si>
    <t>Growing health-food demand; nutritious millet</t>
  </si>
  <si>
    <t>1ZaEXZ08mt2lg5FdQAHm-WmbEzcluBj9b</t>
  </si>
  <si>
    <t>రాగులు</t>
  </si>
  <si>
    <t>Diabetes management; bone health</t>
  </si>
  <si>
    <t>Item_4_Inventory_ID</t>
  </si>
  <si>
    <t>Custard Apple is a delicious source of dietary fiber and vitamin C, supporting everyday wellness and vitality.</t>
  </si>
  <si>
    <t>Item_4_Name</t>
  </si>
  <si>
    <t>Vitamin-C, High-Fiber, Energy-Dense</t>
  </si>
  <si>
    <t>Item_4_Category</t>
  </si>
  <si>
    <t>Traditional Telangana millet crop</t>
  </si>
  <si>
    <t>Item_4_Qty</t>
  </si>
  <si>
    <t>Digestive Wellness, Immune Nutrition, Daily Nutrition</t>
  </si>
  <si>
    <t>సామలు</t>
  </si>
  <si>
    <t>Item_4_Unit</t>
  </si>
  <si>
    <t>Item_5_Inventory_ID</t>
  </si>
  <si>
    <t>Item_5_Name</t>
  </si>
  <si>
    <t>Item_5_Category</t>
  </si>
  <si>
    <t>Grown in tribal/rainfed areas of Telangana</t>
  </si>
  <si>
    <t>Item_5_Qty</t>
  </si>
  <si>
    <t>అరికెలు</t>
  </si>
  <si>
    <t>Item_5_Unit</t>
  </si>
  <si>
    <t>Order_ID</t>
  </si>
  <si>
    <t>Item_6_Inventory_ID</t>
  </si>
  <si>
    <t>INV-0c36ca72</t>
  </si>
  <si>
    <t>Item_6_Name</t>
  </si>
  <si>
    <t>Item_6_Category</t>
  </si>
  <si>
    <t>Order_Date</t>
  </si>
  <si>
    <t>Traditional fasting-food millet</t>
  </si>
  <si>
    <t>Item_6_Qty</t>
  </si>
  <si>
    <t>ఊదలు</t>
  </si>
  <si>
    <t>Request_ID</t>
  </si>
  <si>
    <t>Item_6_Unit</t>
  </si>
  <si>
    <t>Preferred_Delivery_Date</t>
  </si>
  <si>
    <t>Item_7_Inventory_ID</t>
  </si>
  <si>
    <t>Customer_Name</t>
  </si>
  <si>
    <t>Item_7_Name</t>
  </si>
  <si>
    <t>Traditional Telangana dryland millet</t>
  </si>
  <si>
    <t>Mobile_Number</t>
  </si>
  <si>
    <t>వరిగలు</t>
  </si>
  <si>
    <t>Item_7_Category</t>
  </si>
  <si>
    <t>Area</t>
  </si>
  <si>
    <t>Address</t>
  </si>
  <si>
    <t>Item_7_Qty</t>
  </si>
  <si>
    <t>Item_7_Unit</t>
  </si>
  <si>
    <t>Order_Type</t>
  </si>
  <si>
    <t>Traditional millet; revival in health-conscious urban demand</t>
  </si>
  <si>
    <t>Item_8_Inventory_ID</t>
  </si>
  <si>
    <t>కొర్రలు</t>
  </si>
  <si>
    <t>Item_8_Name</t>
  </si>
  <si>
    <t>Order_Status</t>
  </si>
  <si>
    <t>Item_8_Category</t>
  </si>
  <si>
    <t>Item_8_Qty</t>
  </si>
  <si>
    <t>Item_8_Unit</t>
  </si>
  <si>
    <t>Delivery_Status</t>
  </si>
  <si>
    <t>Item_9_Inventory_ID</t>
  </si>
  <si>
    <t>1lZbIaqInWnZvFNO3juXfWJ4WiKmBm6GM</t>
  </si>
  <si>
    <t>Delivery_Charge</t>
  </si>
  <si>
    <t>Item_9_Name</t>
  </si>
  <si>
    <t xml:space="preserve">  </t>
  </si>
  <si>
    <t>Yellow cucumber is naturally high in water content and provides essential dietary fiber to support daily nutrition.</t>
  </si>
  <si>
    <t>Item_9_Category</t>
  </si>
  <si>
    <t>Final_amount</t>
  </si>
  <si>
    <t>Item_9_Qty</t>
  </si>
  <si>
    <t>Hydrating, Low-Calorie, High-Fiber</t>
  </si>
  <si>
    <t>Item_9_Unit</t>
  </si>
  <si>
    <t>Total Amount</t>
  </si>
  <si>
    <t>Hydration, Weight-Conscious Choices, Digestive Wellness, Daily Nutrition</t>
  </si>
  <si>
    <t>Item_10_Inventory_ID</t>
  </si>
  <si>
    <t>Linked_Order_ID</t>
  </si>
  <si>
    <t>Item_10_Name</t>
  </si>
  <si>
    <t>Item_10_Category</t>
  </si>
  <si>
    <t>Map_Link</t>
  </si>
  <si>
    <t>Item_10_Qty</t>
  </si>
  <si>
    <t>Item_10_Unit</t>
  </si>
  <si>
    <t>Route_Link</t>
  </si>
  <si>
    <t>Item_11_Inventory_ID</t>
  </si>
  <si>
    <t>INV-e32d1e51</t>
  </si>
  <si>
    <t>Distance_KM</t>
  </si>
  <si>
    <t>Item_11_Name</t>
  </si>
  <si>
    <t>Delivery_Person</t>
  </si>
  <si>
    <t>Item_11_Category</t>
  </si>
  <si>
    <t>Item_11_Qty</t>
  </si>
  <si>
    <t>ORD-1789802528882</t>
  </si>
  <si>
    <t>Item_11_Unit</t>
  </si>
  <si>
    <t>Item_12_Inventory_ID</t>
  </si>
  <si>
    <t>Item_12_Name</t>
  </si>
  <si>
    <t>REQ-1789802528882</t>
  </si>
  <si>
    <t>Item_12_Category</t>
  </si>
  <si>
    <t>Item_12_Qty</t>
  </si>
  <si>
    <t>Item_12_Unit</t>
  </si>
  <si>
    <t>Rashmitha</t>
  </si>
  <si>
    <t>Item_13_Inventory_ID</t>
  </si>
  <si>
    <t>Item_13_Name</t>
  </si>
  <si>
    <t>Subedari</t>
  </si>
  <si>
    <t>Item_13_Category</t>
  </si>
  <si>
    <t>H.no.1-7-130/1 revenue colony Subedari hanamkonda</t>
  </si>
  <si>
    <t>Item_13_Qty</t>
  </si>
  <si>
    <t>Individual</t>
  </si>
  <si>
    <t>Confirmed</t>
  </si>
  <si>
    <t>Cash On Delivery</t>
  </si>
  <si>
    <t>Delivered</t>
  </si>
  <si>
    <t>Item_13_Unit</t>
  </si>
  <si>
    <t>1snpJSh55Jx89EidOXdjzaiN4fWW5GKxM</t>
  </si>
  <si>
    <t>Item_14_Inventory_ID</t>
  </si>
  <si>
    <t>Tomatoes are rich in essential vitamins and antioxidants that support overall well-being and daily vitality.</t>
  </si>
  <si>
    <t>Item_14_Name</t>
  </si>
  <si>
    <t>Vitamin-C, Antioxidants, Low-Calorie, Hydrating</t>
  </si>
  <si>
    <t>Item_14_Category</t>
  </si>
  <si>
    <t>Skin Wellness, Immune Nutrition, Weight-Conscious Choices, Daily Nutrition</t>
  </si>
  <si>
    <t>Item_14_Qty</t>
  </si>
  <si>
    <t>Item_14_Unit</t>
  </si>
  <si>
    <t>Created from customer requestREQ-1789802528882</t>
  </si>
  <si>
    <t>Item_15_Inventory_ID</t>
  </si>
  <si>
    <t>https://www.google.com/maps/search/?api=1&amp;query=H.no.1-7-130%2F1%20revenue%20colony%20Subedari%20hanamkonda</t>
  </si>
  <si>
    <t>Item_15_Name</t>
  </si>
  <si>
    <t>Item_15_Category</t>
  </si>
  <si>
    <t>INV-56e743ae</t>
  </si>
  <si>
    <t>Item_15_Qty</t>
  </si>
  <si>
    <t>Item_15_Unit</t>
  </si>
  <si>
    <t>Item_16_Inventory_ID</t>
  </si>
  <si>
    <t>Item_16_Name</t>
  </si>
  <si>
    <t>Item_16_Category</t>
  </si>
  <si>
    <t>Item_16_Qty</t>
  </si>
  <si>
    <t>Item_16_Unit</t>
  </si>
  <si>
    <t>Item_17_Inventory_ID</t>
  </si>
  <si>
    <t>Item_17_Name</t>
  </si>
  <si>
    <t>Item_17_Category</t>
  </si>
  <si>
    <t>Item_17_Qty</t>
  </si>
  <si>
    <t>Item_17_Unit</t>
  </si>
  <si>
    <t>Item_18_Inventory_ID</t>
  </si>
  <si>
    <t>Item_18_Name</t>
  </si>
  <si>
    <t>Item_18_Category</t>
  </si>
  <si>
    <t>Item_18_Qty</t>
  </si>
  <si>
    <t>Item_18_Unit</t>
  </si>
  <si>
    <t>Item_19_Inventory_ID</t>
  </si>
  <si>
    <t>https://www.google.com/maps/dir/?api=1&amp;origin=18.04501410%2C79.60986780&amp;destination=H.no.1-7-130%2F1%20revenue%20colony%20Subedari%20hanamkonda&amp;travelmode=driving</t>
  </si>
  <si>
    <t>Item_19_Name</t>
  </si>
  <si>
    <t>Item_19_Category</t>
  </si>
  <si>
    <t>Item_19_Qty</t>
  </si>
  <si>
    <t>1xAcp8oIMAqnUblMLfZj5iL0pO3UJHhR3</t>
  </si>
  <si>
    <t>Item_19_Unit</t>
  </si>
  <si>
    <t>Item_20_Inventory_ID</t>
  </si>
  <si>
    <t>Ivy Gourd is a nutrient-dense vegetable that provides dietary fiber to support everyday digestion and general wellness.</t>
  </si>
  <si>
    <t>Item_20_Name</t>
  </si>
  <si>
    <t>Item_20_Category</t>
  </si>
  <si>
    <t>High-Fiber, Low-Calorie, Antioxidants</t>
  </si>
  <si>
    <t>Item_20_Qty</t>
  </si>
  <si>
    <t>Digestive Wellness, Weight-Conscious Choices, Daily Nutrition</t>
  </si>
  <si>
    <t>Item_20_Unit</t>
  </si>
  <si>
    <t>Item_21_Inventory_ID</t>
  </si>
  <si>
    <t>Item_21_Name</t>
  </si>
  <si>
    <t>Item_21_Category</t>
  </si>
  <si>
    <t>Item_21_Qty</t>
  </si>
  <si>
    <t>Item_21_Unit</t>
  </si>
  <si>
    <t>Basket_Price</t>
  </si>
  <si>
    <t>INV-e3a93ccb</t>
  </si>
  <si>
    <t>Basket_Status</t>
  </si>
  <si>
    <t>Display_Order</t>
  </si>
  <si>
    <t>ORD-1790326699085</t>
  </si>
  <si>
    <t>Basket_Story</t>
  </si>
  <si>
    <t>Basket_Image_File_ID</t>
  </si>
  <si>
    <t>REQ-1790326699085</t>
  </si>
  <si>
    <t>0b767e0a</t>
  </si>
  <si>
    <t>Rishab</t>
  </si>
  <si>
    <t>Mv colony desaipet road</t>
  </si>
  <si>
    <t xml:space="preserve">Nitya </t>
  </si>
  <si>
    <t>11-29-281,road no 3,mv colony,Desaipet road,Warangal</t>
  </si>
  <si>
    <t>Nitya Basket</t>
  </si>
  <si>
    <t>Built for the small home of 2 or 3 who still make the trip to the market every week — Nitya Basket brings that trip to your door.</t>
  </si>
  <si>
    <t>Final Bill Ready</t>
  </si>
  <si>
    <t>g</t>
  </si>
  <si>
    <t>Created from customer requestREQ-1790326699085</t>
  </si>
  <si>
    <t>https://www.google.com/maps/search/?api=1&amp;query=11-29-281%2Croad%20no%203%2Cmv%20colony%2CDesaipet%20road%2CWarangal</t>
  </si>
  <si>
    <t>1of-W8Re6U1sNjJQpzVGra0ubDwL2qt54</t>
  </si>
  <si>
    <t>Green chillies are a crisp, flavorful addition to meals that provide a natural boost of Vitamin C and antioxidants. As a very low-calorie ingredient, they enhance dishes without adding extra calories or fats.</t>
  </si>
  <si>
    <t>Vitamin-C, Antioxidants, Low-Calorie</t>
  </si>
  <si>
    <t>Weight-Conscious Choices, Immune Nutrition, Daily Nutrition</t>
  </si>
  <si>
    <t>INV-14a7d9e6</t>
  </si>
  <si>
    <t>https://www.google.com/maps/dir/?api=1&amp;origin=18.04501410%2C79.60986780&amp;destination=11-29-281%2Croad%20no%203%2Cmv%20colony%2CDesaipet%20road%2CWarangal&amp;travelmode=driving</t>
  </si>
  <si>
    <t>INV-84c98708</t>
  </si>
  <si>
    <t>INV-77acfa4d</t>
  </si>
  <si>
    <t>DRV-001</t>
  </si>
  <si>
    <t>bunch</t>
  </si>
  <si>
    <t>INV-7c8c64a4</t>
  </si>
  <si>
    <t>ORD-REQ-1790390054867</t>
  </si>
  <si>
    <t>REQ-1790390054867</t>
  </si>
  <si>
    <t>Sumalatha</t>
  </si>
  <si>
    <t>INV-c7bf1b2f</t>
  </si>
  <si>
    <t>1gycLTcIQZWzkuXgjmMHLZtqv76SlG2uR</t>
  </si>
  <si>
    <t>Carrots are packed with essential nutrients that support healthy vision and provide dietary fiber for everyday vitality.</t>
  </si>
  <si>
    <t>Paidpelli cross aakurthi enclave</t>
  </si>
  <si>
    <t>Vitamin-A, High-Fiber, Low-Calorie</t>
  </si>
  <si>
    <t>47-5-1110,laxmi kakatiya Grand, Aakurthi enclave
Suraj bar and restaurant near paidipailly</t>
  </si>
  <si>
    <t>Bunch</t>
  </si>
  <si>
    <t>INV-84fc04be</t>
  </si>
  <si>
    <t>Eye Nutrition, Digestive Wellness, Daily Nutrition</t>
  </si>
  <si>
    <t>Pending</t>
  </si>
  <si>
    <t>INV-921e5d64</t>
  </si>
  <si>
    <t>INV-909d742a</t>
  </si>
  <si>
    <t>Notes: Need to be fresg</t>
  </si>
  <si>
    <t>https://www.google.com/maps/search/?api=1&amp;query=47-5-1110%2Claxmi%20kakatiya%20Grand%2C%20Aakurthi%20enclave%0ASuraj%20bar%20and%20restaurant%20near%20paidipailly</t>
  </si>
  <si>
    <t>INV-07d4c436</t>
  </si>
  <si>
    <t>INV-ddd7e315</t>
  </si>
  <si>
    <t>https://www.google.com/maps/dir/?api=1&amp;origin=18.04501410%2C79.60986780&amp;destination=47-5-1110%2Claxmi%20kakatiya%20Grand%2C%20Aakurthi%20enclave%0ASuraj%20bar%20and%20restaurant%20near%20paidipailly&amp;travelmode=driving</t>
  </si>
  <si>
    <t>1RCKsNNN_zyC6druXr9S1W5NXo62ekGLI</t>
  </si>
  <si>
    <t>Brinjals are a great source of dietary fiber that supports healthy digestion and overall well-being. They are also naturally low in calories, making them a light and nutritious addition to your meals.</t>
  </si>
  <si>
    <t>ORD-1790986416177</t>
  </si>
  <si>
    <t>REQ-1790986416177</t>
  </si>
  <si>
    <t>Ranadheer Reddy Donthi</t>
  </si>
  <si>
    <t>Bollikunta</t>
  </si>
  <si>
    <t>Bollikunta village near vagdevi engineering college 506005</t>
  </si>
  <si>
    <t>Built for small homes — your everyday essentials, delivered on repeat. Save time, save money, and stay close to nature.</t>
  </si>
  <si>
    <t>1K5ELCWZXvIQGSIzesmK28pFOVgXSceFD</t>
  </si>
  <si>
    <t>4674393b</t>
  </si>
  <si>
    <t>Created from customer requestREQ-1790986416177</t>
  </si>
  <si>
    <t>Kutumbam</t>
  </si>
  <si>
    <t>https://www.google.com/maps/search/?api=1&amp;query=Bollikunta%20village%20near%20vagdevi%20engineering%20college%20506005</t>
  </si>
  <si>
    <t>Kutumbam Basket</t>
  </si>
  <si>
    <t>1iPGS6gU5sdX72jIk_4pgfATenSEPFTqL</t>
  </si>
  <si>
    <t>A convenient, affordable and thoughtfully curated fresh basket designed around the everyday needs of your family.</t>
  </si>
  <si>
    <t>Bottle gourd is exceptionally high in water content and provides dietary fiber, making it a light and refreshing choice for everyday meals.</t>
  </si>
  <si>
    <t>https://www.google.com/maps/dir/?api=1&amp;origin=18.04501410%2C79.60986780&amp;destination=Bollikunta%20village%20near%20vagdevi%20engineering%20college%20506005&amp;travelmode=driving</t>
  </si>
  <si>
    <t>INV-931afc3c</t>
  </si>
  <si>
    <t>INV-d6d42315</t>
  </si>
  <si>
    <t>INV-fb2afee4</t>
  </si>
  <si>
    <t>1k4ABRLTRwCaefhNknMU2SO_1WnyLf94e</t>
  </si>
  <si>
    <t>Bitter gourd is packed with dietary fiber and essential vitamins that support your everyday wellness. It is a nutritious, low-calorie addition to your balanced meals.</t>
  </si>
  <si>
    <t>High-Fiber, Low-Calorie, Vitamin-C, Antioxidants</t>
  </si>
  <si>
    <t>INV-6712aea7</t>
  </si>
  <si>
    <t>1dr-ZB_Sg_zSjiW-vKgApkPfdE5uxAt_W</t>
  </si>
  <si>
    <t>Cow milk is a wholesome source of high-quality protein and essential nutrients that support daily vitality. It provides important minerals that help maintain strong bones and overall physical well-being.</t>
  </si>
  <si>
    <t>Calcium-Rich, High-Protein, Vitamin-A</t>
  </si>
  <si>
    <t>Bone Nutrition, Strength &amp; Protein, Growth &amp; Development Nutrition, Daily Nutrition</t>
  </si>
  <si>
    <t>INV-afec4cc2</t>
  </si>
  <si>
    <t>One Basket. Everyday Freshness. One Happy Kutumbam</t>
  </si>
  <si>
    <t>1UkP5TFbHsCjy67sO0JBu8GYAN7Jwo3Yt</t>
  </si>
  <si>
    <t>1vlevTertqZmuPv_oOf0cXk5FVV_qkh3S</t>
  </si>
  <si>
    <t>bc0688fd</t>
  </si>
  <si>
    <t>Fresh cauliflower is naturally low in calories and provides a good source of dietary fiber to support your daily wellness.</t>
  </si>
  <si>
    <t>Kaajeshah</t>
  </si>
  <si>
    <t>High-Fiber, Low-Calorie, Vitamin-C</t>
  </si>
  <si>
    <t>Kaajeshah Basket</t>
  </si>
  <si>
    <t>Daily Pooja</t>
  </si>
  <si>
    <t>ml</t>
  </si>
  <si>
    <t>INV-19b6f42d</t>
  </si>
  <si>
    <t>INV-d879f769</t>
  </si>
  <si>
    <t>INV-004510de</t>
  </si>
  <si>
    <t>string</t>
  </si>
  <si>
    <t>INV-6f7dab5e</t>
  </si>
  <si>
    <t>1HUMzu3DPY53Lpv5oU63G6g1e8IjNzAvG</t>
  </si>
  <si>
    <t>INV-64445e0b</t>
  </si>
  <si>
    <t>Cabbage is a crisp and versatile vegetable that provides essential dietary fiber to support daily nutrition. It is also naturally low in calories and hydrating for everyday meals.</t>
  </si>
  <si>
    <t>INV-64884307</t>
  </si>
  <si>
    <t>High-Fiber, Low-Calorie, Hydrating, Vitamin-C</t>
  </si>
  <si>
    <t>Digestive Wellness, Weight-Conscious Choices, Hydration, Daily Nutrition</t>
  </si>
  <si>
    <t>INV-67f857e0</t>
  </si>
  <si>
    <t>INV-49e51c5a</t>
  </si>
  <si>
    <t>10Ajl94J6EpaX1tTpVXtJLaIEgoTEdATi</t>
  </si>
  <si>
    <t>Pomegranates are rich in vitamin C and dietary fiber, making them a refreshing and nutritious addition to your daily meals.</t>
  </si>
  <si>
    <t>Inspired by devotion, tradition, and the purity of offering</t>
  </si>
  <si>
    <t>Vitamin-C, High-Fiber, Antioxidants, Hydrating</t>
  </si>
  <si>
    <t>1Reuq1LcjbNc2e3gNss2ROWbk43u1PYDF</t>
  </si>
  <si>
    <t>Daily Nutrition, Digestive Wellness, Skin Wellness, Heart-Friendly Choices</t>
  </si>
  <si>
    <t>INV-68854cce</t>
  </si>
  <si>
    <t>0fe83e76</t>
  </si>
  <si>
    <t xml:space="preserve">Siri Dhaanya </t>
  </si>
  <si>
    <t>Siri Dhaanya Basket</t>
  </si>
  <si>
    <t>Healthy traditional staples for your kitchen</t>
  </si>
  <si>
    <t>INV-c673fae4</t>
  </si>
  <si>
    <t>INV-edef61af</t>
  </si>
  <si>
    <t>INV-8a8a13ca</t>
  </si>
  <si>
    <t>1UUmtEqe96lNk3szn2kltJJGtNEp1K0sB</t>
  </si>
  <si>
    <t>INV-0fe7334e</t>
  </si>
  <si>
    <t>Papaya is a nutrient-dense tropical fruit packed with essential vitamins and dietary fiber to support your daily wellness. It helps keep you refreshed and promotes overall vitality.</t>
  </si>
  <si>
    <t>Vitamin-C, Vitamin-A, High-Fiber, Hydrating</t>
  </si>
  <si>
    <t>Digestive Wellness, Skin Wellness, Immune Nutrition, Daily Nutrition</t>
  </si>
  <si>
    <t>INV-805ac2b3</t>
  </si>
  <si>
    <t>INV-eaea23ab</t>
  </si>
  <si>
    <t>INV-4522af2a</t>
  </si>
  <si>
    <t>INV-a5f76b62</t>
  </si>
  <si>
    <t>INV-6254f5d2</t>
  </si>
  <si>
    <t>11AmPQrplWnFRjAGox42HMmZZSuQL1S9t</t>
  </si>
  <si>
    <t>Fresh beetroot is a wonderful source of essential nutrients that support overall vitality and daily wellness. It provides dietary fiber and essential plant compounds to help maintain balanced nutrition.</t>
  </si>
  <si>
    <t>High-Fiber, Folate-Rich, Potassium-Rich, Low-Calorie</t>
  </si>
  <si>
    <t>INV-e5b4d2e4</t>
  </si>
  <si>
    <t>Iron &amp; Blood Nutrition, Weight-Conscious Choices, Daily Nutrition, Heart-Friendly Choices</t>
  </si>
  <si>
    <t>INV-76abeff2</t>
  </si>
  <si>
    <t>INV-5bf91ab1</t>
  </si>
  <si>
    <t>INV-4ef4e682</t>
  </si>
  <si>
    <t>A thoughtfully curated basket of traditional millets and everyday essentials for wholesome family meals.</t>
  </si>
  <si>
    <t>1D9CoyZ8vQW8QrvJM6IJa13Ou68aspHSo</t>
  </si>
  <si>
    <t>1qHQ_ZUuGk6o9oC3MeoMmCM7qB4O0LWUl</t>
  </si>
  <si>
    <t>Sapota (Chikoo) is a delicious source of dietary fiber that supports healthy digestion and provides a quick, natural energy boost.</t>
  </si>
  <si>
    <t>High-Fiber, Energy-Dense, Potassium-Rich</t>
  </si>
  <si>
    <t>aafcdc18</t>
  </si>
  <si>
    <t>Digestive Wellness, Daily Nutrition</t>
  </si>
  <si>
    <t>Sangamam</t>
  </si>
  <si>
    <t>Sangamam Basket</t>
  </si>
  <si>
    <t>INV-69d5efc8</t>
  </si>
  <si>
    <t>Your sambar essentials, freshly curated for a family of 3–6.</t>
  </si>
  <si>
    <t>INV-0fce7410</t>
  </si>
  <si>
    <t>INV-7c9ecc11</t>
  </si>
  <si>
    <t>1fK68Cnk3NSBcfH9iL7EQ2kC-vVqMUv19</t>
  </si>
  <si>
    <t>Amla leaves are a nutritious addition packed with essential antioxidants and vitamin C to support daily well-being.</t>
  </si>
  <si>
    <t>Immune Nutrition, Skin Wellness, Daily Nutrition</t>
  </si>
  <si>
    <t>INV-0f48c604</t>
  </si>
  <si>
    <t>INV-440bc196</t>
  </si>
  <si>
    <t>1VAci2jr3_RW05ygKOlM0olN_IoIJ1j_d</t>
  </si>
  <si>
    <t>INV-d4c8ded2</t>
  </si>
  <si>
    <t>Ash gourd is exceptionally high in water content and very low in calories, making it a light and refreshing addition to your meals. It also provides essential vitamin C to support daily wellness.</t>
  </si>
  <si>
    <t>Hydrating, Low-Calorie, Vitamin-C</t>
  </si>
  <si>
    <t>Hydration, Weight-Conscious Choices, Daily Nutrition</t>
  </si>
  <si>
    <t>Many Ingredients. One traditional taste.</t>
  </si>
  <si>
    <t>1LLNHus07hN1p306iMTCNkOdbfuCmZowl</t>
  </si>
  <si>
    <t>1Behpi4aeIRZMXjqfJIHo89DZ3Eq6HHYS</t>
  </si>
  <si>
    <t>Fresh drumsticks (munagakaya) are a great source of dietary fiber and vitamin C, supporting everyday wellness and balanced nutrition.</t>
  </si>
  <si>
    <t>Vitamin-C, High-Fiber, Low-Calorie</t>
  </si>
  <si>
    <t>Digestive Wellness, Daily Nutrition, Weight-Conscious Choices</t>
  </si>
  <si>
    <t>INV-6f17662a</t>
  </si>
  <si>
    <t>1YLoE46J1opPqw0dPH4XoMokY52-4mLEf</t>
  </si>
  <si>
    <t>Big onions are naturally low in calories and provide essential vitamin C to support everyday vitality. They also offer dietary fiber to help support a balanced diet.</t>
  </si>
  <si>
    <t>[Vitamin-C, High-Fiber, Low-Calorie, Antioxidants]</t>
  </si>
  <si>
    <t>[Weight-Conscious Choices, Immune Nutrition, Daily Nutrition]</t>
  </si>
  <si>
    <t>1CNH5A1enoYl8TH4wqrAisCp1HVufoI4B</t>
  </si>
  <si>
    <t>Small onions are naturally low in calories and provide essential vitamin C to support everyday wellness.</t>
  </si>
  <si>
    <t>Vitamin-C, Low-Calorie, Antioxidants</t>
  </si>
  <si>
    <t>Daily Nutrition, Weight-Conscious Choices, Immune Nutrition</t>
  </si>
  <si>
    <t>12S12z6PJk042WK6Ys6fyXjcSOTVtJvgL</t>
  </si>
  <si>
    <t>Fresh coriander is a flavorful, low-calorie herb that provides essential vitamins to support your daily diet.</t>
  </si>
  <si>
    <t>Vitamin-A, Vitamin-C, Low-Calorie, Antioxidants</t>
  </si>
  <si>
    <t>Daily Nutrition, Eye Nutrition, Immune Nutrition</t>
  </si>
  <si>
    <t>1z6Ek-OkI-JRQxiz8opBgkHIJdQFWagCr</t>
  </si>
  <si>
    <t>Curry leaves are a flavorful addition packed with essential vitamins and powerful antioxidants to support your everyday well-being.</t>
  </si>
  <si>
    <t>Vitamin-A, Antioxidants, Iron-Rich</t>
  </si>
  <si>
    <t>Hair &amp; Nutrition, Iron &amp; Blood Nutrition, Daily Nutrition</t>
  </si>
  <si>
    <t>INV-fe9eae5a</t>
  </si>
  <si>
    <t>1AL-I3W6mGIbuz0yDrecLqL_5-G5LmJdl</t>
  </si>
  <si>
    <t>Drumstick Leaves are rich in essential vitamins and minerals that support daily vitality. They make a nutrient-dense addition to your daily meals.</t>
  </si>
  <si>
    <t>Vitamin-C, Vitamin-A, Iron-Rich, Calcium-Rich</t>
  </si>
  <si>
    <t>Iron &amp; Blood Nutrition, Bone Nutrition, Immune Nutrition, Daily Nutrition</t>
  </si>
  <si>
    <t>1t3hjFyZKE-mVdrjRvBlRnsBPrN_3PM1d</t>
  </si>
  <si>
    <t>Fresh mint is a refreshing, low-calorie herb that provides essential micronutrients like vitamins A and C to support daily vitality.</t>
  </si>
  <si>
    <t>Low-Calorie, Vitamin-A, Vitamin-C, Antioxidants</t>
  </si>
  <si>
    <t>Digestive Wellness, Skin Wellness, Daily Nutrition</t>
  </si>
  <si>
    <t>INV-46fd7a52</t>
  </si>
  <si>
    <t>Order_Item_ID</t>
  </si>
  <si>
    <t>18LKYGGLys2QHYfqqhoge0WYaXcx3bMXX</t>
  </si>
  <si>
    <t>Request_Item_ID</t>
  </si>
  <si>
    <t>Spinach (Palakura) is a nutrient-dense leafy green that provides essential vitamins and minerals to support your daily vitality. It is naturally low in calories and rich in essential plant nutrients.</t>
  </si>
  <si>
    <t>Iron-Rich, Vitamin-A, Vitamin-C, Low-Calorie</t>
  </si>
  <si>
    <t>Delivery_Task_ID</t>
  </si>
  <si>
    <t>Iron &amp; Blood Nutrition, Eye Nutrition, Weight-Conscious Choices, Daily Nutrition</t>
  </si>
  <si>
    <t>INV-670e634c</t>
  </si>
  <si>
    <t>Price</t>
  </si>
  <si>
    <t>Total_Amount</t>
  </si>
  <si>
    <t>Column 14</t>
  </si>
  <si>
    <t>OI-RI-fb460b6f-6703-46de-a995-647137960d16</t>
  </si>
  <si>
    <t>RI-fb460b6f-6703-46de-a995-647137960d16</t>
  </si>
  <si>
    <t>INV-7b037fdb</t>
  </si>
  <si>
    <t>1NKMk9Zb5lH4kiklDWF9axp_5ndrg_Kbn</t>
  </si>
  <si>
    <t>Goat milk is a great source of essential proteins and calcium, supporting daily nutritional needs and overall vitality.</t>
  </si>
  <si>
    <t>Calcium-Rich, High-Protein</t>
  </si>
  <si>
    <t>Bone Nutrition, Strength &amp; Protein, Daily Nutrition</t>
  </si>
  <si>
    <t>OI-RI-6e9b22e1-dd9d-4c54-99cc-d18e193bb527</t>
  </si>
  <si>
    <t>RI-6e9b22e1-dd9d-4c54-99cc-d18e193bb527</t>
  </si>
  <si>
    <t>INV-fcf37a01</t>
  </si>
  <si>
    <t>16X_LfZoJF7MxLj3xzAZHODdbZeFsos5O</t>
  </si>
  <si>
    <t>Buffalo milk is a rich source of quality protein and essential minerals that support daily nutritional needs. It provides sustained energy and nourishment for the whole family.</t>
  </si>
  <si>
    <t>Requested_Quantity</t>
  </si>
  <si>
    <t>Calcium-Rich, High-Protein, Energy-Dense</t>
  </si>
  <si>
    <t>Available Quantity</t>
  </si>
  <si>
    <t>Customer_Selling_Price</t>
  </si>
  <si>
    <t>Line_Total</t>
  </si>
  <si>
    <t>OI-RI-74b9c515-1311-4c33-ac06-5989629c403a</t>
  </si>
  <si>
    <t>RI-8bb71703-7b55-48cc-87d3-ab8465a277cd</t>
  </si>
  <si>
    <t>RI-74b9c515-1311-4c33-ac06-5989629c403a</t>
  </si>
  <si>
    <t>INV-fb9bb4f2</t>
  </si>
  <si>
    <t>REQ-1789540675074</t>
  </si>
  <si>
    <t>1lRuv3w7ZJp6YhZqgfdleBy8Dhfy5VKRs</t>
  </si>
  <si>
    <t>Bilva leaves are rich in beneficial plant compounds and antioxidants that support overall wellness. They offer a refreshing addition to traditional herbal teas and dietary routines.</t>
  </si>
  <si>
    <t>Antioxidants, Low-Calorie</t>
  </si>
  <si>
    <t>INV-64d5c63a</t>
  </si>
  <si>
    <t>OI-RI-5d547aed-fe82-41f6-ab42-b1a2ebbfcb87</t>
  </si>
  <si>
    <t>RI-5d547aed-fe82-41f6-ab42-b1a2ebbfcb87</t>
  </si>
  <si>
    <t>INV-81767cbe</t>
  </si>
  <si>
    <t>RI-59c4f627-2e1b-44ec-bfe4-fb775c537108</t>
  </si>
  <si>
    <t>INV-8a9a95c3</t>
  </si>
  <si>
    <t>1kqNdFztKnJEbxxkTjhN1dS4dGcAu0dQZ</t>
  </si>
  <si>
    <t>Ashoka leaves are a natural source of antioxidants and plant compounds that support overall well-being. They make a thoughtful addition to a balanced, plant-forward lifestyle.</t>
  </si>
  <si>
    <t>OI-AD-RI-870e726e</t>
  </si>
  <si>
    <t>Daily Nutrition, Skin Wellness</t>
  </si>
  <si>
    <t>AD-RI-870e726e</t>
  </si>
  <si>
    <t>INV-6f8ce922</t>
  </si>
  <si>
    <t>RI-2cf26092-ae79-47a0-a793-da99298d128e</t>
  </si>
  <si>
    <t>Buffalo milk</t>
  </si>
  <si>
    <t>RI-33c7a73d-2f2d-4bbb-9654-69cf02c60c9e</t>
  </si>
  <si>
    <t>1Toh4gDZil0FAhTlQpr4XflPZVU8slEI7</t>
  </si>
  <si>
    <t>OI-RI-f77d7751-ac45-4e35-a365-48fb9e15a1e5</t>
  </si>
  <si>
    <t>White brinjal is a nutrient-dense vegetable that provides essential dietary fiber to support healthy digestion and overall well-being. It is also naturally low in calories, making it a great addition to balanced daily meals.</t>
  </si>
  <si>
    <t>RI-f77d7751-ac45-4e35-a365-48fb9e15a1e5</t>
  </si>
  <si>
    <t>INV-bb476f18</t>
  </si>
  <si>
    <t>OI-RI-0af1e09a-3612-471e-a3fe-177000f27e17</t>
  </si>
  <si>
    <t>RI-0af1e09a-3612-471e-a3fe-177000f27e17</t>
  </si>
  <si>
    <t>RI-3add3255-5391-4d26-970b-59319ceb909e</t>
  </si>
  <si>
    <t>1kGxHqTfOwFDdUXAk5IRDeK1CacRy_nQq</t>
  </si>
  <si>
    <t>Gongura leaves are a nutritious source of essential vitamins and minerals that support daily vitality. They are naturally low in calories and provide beneficial dietary fiber.</t>
  </si>
  <si>
    <t>Vitamin-C, Iron-Rich, High-Fiber, Low-Calorie</t>
  </si>
  <si>
    <t>Iron &amp; Blood Nutrition, Weight-Conscious Choices, Daily Nutrition</t>
  </si>
  <si>
    <t>INV-c4f0cbeb</t>
  </si>
  <si>
    <t>RI-52079e3a-4942-4966-90f9-2bfcfc6fa724</t>
  </si>
  <si>
    <t>OI-RI-3f377460-19de-4adb-b584-54746e143b49</t>
  </si>
  <si>
    <t>REQ-1789545789129</t>
  </si>
  <si>
    <t>RI-3f377460-19de-4adb-b584-54746e143b49</t>
  </si>
  <si>
    <t>RI-53090430-076d-4d94-87af-cd73bbcb4cdb</t>
  </si>
  <si>
    <t>118LnZ51-cNGnMEK3sku2PJ7nMv2GTWyB</t>
  </si>
  <si>
    <t>Malabar Spinach is packed with essential vitamins and dietary fiber to support your daily wellness. It contributes to overall vitality and healthy digestion.</t>
  </si>
  <si>
    <t>Vitamin-A, Vitamin-C, High-Fiber, Iron-Rich</t>
  </si>
  <si>
    <t>Eye Nutrition, Digestive Wellness, Iron &amp; Blood Nutrition, Daily Nutrition</t>
  </si>
  <si>
    <t>RI-4b4f927a-e177-4c6b-ae74-5bd35ef09611</t>
  </si>
  <si>
    <t>INV-de8f93b5</t>
  </si>
  <si>
    <t>RI-5b41adb3-c947-482b-9c73-00896949fa35</t>
  </si>
  <si>
    <t>RI-380f82a7-6fcb-414c-b16a-5aba29f7d34a</t>
  </si>
  <si>
    <t>RI-daaffc1f-2abf-46c2-bd63-120073f88dab</t>
  </si>
  <si>
    <t>OI-RI-67dfd73f-5a1e-4bf4-9703-df5df9fcad02</t>
  </si>
  <si>
    <t>RI-023ffa2c-72a5-4a7e-afb4-bc0d338aab76</t>
  </si>
  <si>
    <t>RI-c01fdc5c-efeb-4b03-ae3c-0e43e3a36bc4</t>
  </si>
  <si>
    <t>RI-67dfd73f-5a1e-4bf4-9703-df5df9fcad02</t>
  </si>
  <si>
    <t>1q6w24zJTY1a0iI3jjvrNsCOzyhmlGtuh</t>
  </si>
  <si>
    <t>Tamarind leaves are rich in essential vitamins and dietary fiber, supporting overall daily nutrition and wellness.</t>
  </si>
  <si>
    <t>Vitamin-C, High-Fiber, Antioxidants</t>
  </si>
  <si>
    <t>INV-2903d865</t>
  </si>
  <si>
    <t>RI-61c5882d-b483-4c56-a906-4ef3e7bbf17d</t>
  </si>
  <si>
    <t>grams</t>
  </si>
  <si>
    <t>Cancelled</t>
  </si>
  <si>
    <t>OI-RI-c4a2b1dc-f9b4-4eb3-bc21-0c87edcb4528</t>
  </si>
  <si>
    <t>RI-3ae1d216-a83a-465d-b3d8-ac79f03c0423</t>
  </si>
  <si>
    <t>REQ-1789892755592</t>
  </si>
  <si>
    <t>RI-b4778ad5-4abd-49fe-96c6-f12044c2f88d</t>
  </si>
  <si>
    <t>REQ-1790316628957</t>
  </si>
  <si>
    <t>INV-398ecb28</t>
  </si>
  <si>
    <t>RI-c4a2b1dc-f9b4-4eb3-bc21-0c87edcb4528</t>
  </si>
  <si>
    <t>RI-24ba2db3-445c-4e1b-b0a2-dfece58fc199</t>
  </si>
  <si>
    <t>RI-9e336edf-0bc0-418c-a632-8fbea9ee1247</t>
  </si>
  <si>
    <t>RI-5a1b01a0-c661-41ef-82f5-bfc4e812b8cc</t>
  </si>
  <si>
    <t>1Kn4hAlojqXzrQP2a2c0osb_wvxDQWlW_</t>
  </si>
  <si>
    <t>Tulasi sprigs are packed with beneficial plant compounds that help support overall wellness and daily vitality. They are very low in calories, making them a light, flavorful addition to your daily routine.</t>
  </si>
  <si>
    <t>Daily Nutrition, Immune Nutrition, Weight-Conscious Choices</t>
  </si>
  <si>
    <t>INV-a03bdd05</t>
  </si>
  <si>
    <t>OI-RI-5a1b01a0-c661-41ef-82f5-bfc4e812b8cc</t>
  </si>
  <si>
    <t>RI-ca36aa5b-4fea-433f-964e-1ce0eded3847</t>
  </si>
  <si>
    <t>RI-65c45586-7bd5-4eb9-9640-173387e90639</t>
  </si>
  <si>
    <t>RI-9df7f568-00f3-43d2-a000-b3561d546a78</t>
  </si>
  <si>
    <t>RI-0a61c7c9-0c09-4001-b328-e5f99d69a4ab</t>
  </si>
  <si>
    <t>1OyexD5WjVhnIT3yxsWcc546uzRBAkqnL</t>
  </si>
  <si>
    <t>RI-93e33b7c-7e96-4c5b-8fe8-4e6c19a8cccc</t>
  </si>
  <si>
    <t>Pumpkin is rich in beta-carotene, which the body converts to support healthy vision, and contains dietary fiber to aid digestion.</t>
  </si>
  <si>
    <t>Vitamin-A, High-Fiber, Low-Calorie, Antioxidants</t>
  </si>
  <si>
    <t>RI-f5e08022-787c-4422-8c92-0556a46d41fe</t>
  </si>
  <si>
    <t>Eye Nutrition, Weight-Conscious Choices, Digestive Wellness, Immune Nutrition</t>
  </si>
  <si>
    <t>RI-ef9da2a5-d398-4106-8e0f-1a5a779c907d</t>
  </si>
  <si>
    <t>OI-RI-9e336edf-0bc0-418c-a632-8fbea9ee1247</t>
  </si>
  <si>
    <t>RI-08bca225-298f-4a77-ba25-689559833ce4</t>
  </si>
  <si>
    <t>RI-e9376fdd-d307-4c2a-9350-617a120de5d1</t>
  </si>
  <si>
    <t>RI-9258f5a3-afef-4456-afcb-f63e780812eb</t>
  </si>
  <si>
    <t>RI-5bc96b1b-d11c-46a2-b592-5b51743b930d</t>
  </si>
  <si>
    <t>RI-9db2c338-0728-43b2-a78a-dad98c5bf856</t>
  </si>
  <si>
    <t>RI-ddf72214-3493-4e58-a89c-10c28964730c</t>
  </si>
  <si>
    <t>1g_4w1GCKbDZZV6Ix4cu3-f1P25EoZLd0</t>
  </si>
  <si>
    <t>RI-7e6a7035-79f7-4807-8003-98037eb1de6e</t>
  </si>
  <si>
    <t>Purple baby brinjals are rich in dietary fiber to support digestion and contain beneficial antioxidants found in their vibrant skin.</t>
  </si>
  <si>
    <t>RI-6ff65897-c120-49dc-9713-c11edadec502</t>
  </si>
  <si>
    <t>RI-16b2a7d0-6675-4c84-9aba-3f7e26a6084c</t>
  </si>
  <si>
    <t>OI-RI-ca36aa5b-4fea-433f-964e-1ce0eded3847</t>
  </si>
  <si>
    <t>High-Fiber, Antioxidants, Low-Calorie, Hydrating</t>
  </si>
  <si>
    <t>RI-64993805-dc01-49b3-a91e-e6624df08c43</t>
  </si>
  <si>
    <t>INV-055dc5a1</t>
  </si>
  <si>
    <t>RI-702bf61e-39fc-4f91-9354-e22447724905</t>
  </si>
  <si>
    <t>RI-cf818f34-5746-4fea-aa43-f78e24b65b77</t>
  </si>
  <si>
    <t>REQ-1791113603381</t>
  </si>
  <si>
    <t>RI-16fe0c1e-f3c3-4152-8ae0-c456359b10e4</t>
  </si>
  <si>
    <t>RI-3a2c55f4-0524-408a-860a-c1a5d4923462</t>
  </si>
  <si>
    <t>RI-dc76e145-ea85-4d8d-b784-5a35634a6251</t>
  </si>
  <si>
    <t>RI-dcb94a4b-a98a-419f-b8b6-2238e20a9134</t>
  </si>
  <si>
    <t>OI-RI-65c45586-7bd5-4eb9-9640-173387e90639</t>
  </si>
  <si>
    <t>1wrFnYTCXkJqoJPwsz7OvkQrsXT53kDbE</t>
  </si>
  <si>
    <t>Raw bananas are a great source of dietary fiber, which supports healthy digestion, and provide steady energy as a complex carbohydrate.</t>
  </si>
  <si>
    <t>INV-eb9cd6c0</t>
  </si>
  <si>
    <t>OI-RI-9df7f568-00f3-43d2-a000-b3561d546a78</t>
  </si>
  <si>
    <t>1-YepdokaWTx8fOaGLnAXU-6pNgx9U7nL</t>
  </si>
  <si>
    <t>Ummetta leaves offer dietary fiber and essential plant nutrients that support daily nutritional balance.</t>
  </si>
  <si>
    <t>High-Fiber, Antioxidants, Low-Calorie</t>
  </si>
  <si>
    <t>INV-096fd279</t>
  </si>
  <si>
    <t>1NGAUgfLzyADKW8VT5lKjE8b-uP3VbXbe</t>
  </si>
  <si>
    <t>Uttareni leaves are a nutritious green leafy vegetable packed with essential vitamins and dietary fiber to support your daily wellness.</t>
  </si>
  <si>
    <t>Vitamin-C, Vitamin-A, High-Fiber</t>
  </si>
  <si>
    <t>Daily Nutrition, Weight-Conscious Choices</t>
  </si>
  <si>
    <t>INV-fddcd3c0</t>
  </si>
  <si>
    <t>1YhV54AuB_hgci4VtE51TXcAfvHCXjE7_</t>
  </si>
  <si>
    <t>Vishnukranta leaves are packed with natural antioxidants that help support overall cellular health and daily vitality. They make a nutritious addition to traditional herbal preparations and wellness routines.</t>
  </si>
  <si>
    <t>Brain &amp; Focus Nutrition, Daily Nutrition</t>
  </si>
  <si>
    <t>INV-83372342</t>
  </si>
  <si>
    <t>1Xmh6Nog6J-C9tyvnsXBV5_CYO6-cCCfd</t>
  </si>
  <si>
    <t>Regu leaves are packed with beneficial plant compounds and essential nutrients that support everyday well-being. They make a nutritious addition to traditional regional meals and home-cooked dishes.</t>
  </si>
  <si>
    <t>Vitamin-C, Antioxidants, High-Fiber</t>
  </si>
  <si>
    <t>INV-ebc400a3</t>
  </si>
  <si>
    <t>171pyaYUneYi9kEigzsj0efYtXwyq4uKm</t>
  </si>
  <si>
    <t>Moduga leaves are rich in beneficial plant antioxidants and dietary fiber that support overall everyday wellness.</t>
  </si>
  <si>
    <t>Antioxidants, High-Fiber, Vitamin-C</t>
  </si>
  <si>
    <t>Digestive Wellness, Daily Nutrition, Skin Wellness</t>
  </si>
  <si>
    <t>INV-a721352a</t>
  </si>
  <si>
    <t>Payment_ID</t>
  </si>
  <si>
    <t>Amount</t>
  </si>
  <si>
    <t>Payment_Mode</t>
  </si>
  <si>
    <t>Transaction_ID</t>
  </si>
  <si>
    <t>Collected_By</t>
  </si>
  <si>
    <t>1TJjr2YLbFUXt0pIJ_oglCbGWpQ-Nx1QJ</t>
  </si>
  <si>
    <t>PAY-6f587948</t>
  </si>
  <si>
    <t>Maruvamu leaves are aromatic greens that provide essential micronutrients and plant compounds to support daily vitality. They make a flavorful, low-calorie addition to traditional dishes.</t>
  </si>
  <si>
    <t>Vitamin-A, Antioxidants, Low-Calorie</t>
  </si>
  <si>
    <t>Payment record created for orderORD-1789802528882.Final amount: Rs291.5</t>
  </si>
  <si>
    <t>PAY-815bb9a8</t>
  </si>
  <si>
    <t>PhonePe</t>
  </si>
  <si>
    <t>Akhil</t>
  </si>
  <si>
    <t>Payment record created for orderORD-1790326699085.Final amount: Rs265.25</t>
  </si>
  <si>
    <t>INV-0093a82a</t>
  </si>
  <si>
    <t>PAY-32eb8989</t>
  </si>
  <si>
    <t>Payment record created for orderORD-REQ-1790390054867.Final amount: Rs347.5</t>
  </si>
  <si>
    <t>PAY-563a37ab</t>
  </si>
  <si>
    <t>Payment record created for orderORD-1790986416177.Final amount: Rs211</t>
  </si>
  <si>
    <t>1Y2BVS59eQ8d-XDikOqT0HEL_OymCvhCu</t>
  </si>
  <si>
    <t>Jaji leaves are a nutrient-dense green leafy vegetable that naturally provides essential vitamins and minerals to support your daily diet. They contribute to overall well-being as part of balanced, wholesome meals.</t>
  </si>
  <si>
    <t>Vitamin-C, Vitamin-A, Iron-Rich, High-Fiber</t>
  </si>
  <si>
    <t>Daily Nutrition, Iron &amp; Blood Nutrition</t>
  </si>
  <si>
    <t>INV-721119d0</t>
  </si>
  <si>
    <t>12SdvAmfusYKrjG0PsmZs5FtYE1JOpdsj</t>
  </si>
  <si>
    <t>Machi leaves are a nutrient-dense green packed with beneficial antioxidants that support overall well-being. They make a wholesome addition to your daily traditional cooking.</t>
  </si>
  <si>
    <t>Antioxidants, Vitamin-A, High-Fiber</t>
  </si>
  <si>
    <t>Daily Nutrition, Immune Nutrition, Digestive Wellness</t>
  </si>
  <si>
    <t>INV-7f4aafaf</t>
  </si>
  <si>
    <t>1s5ZIfTqYjEHG1HrVzWpX_PGPCN2PeOT7</t>
  </si>
  <si>
    <t>Shami leaves are a traditional green leafy ingredient that provides essential plant nutrients to support your daily wellness routine. They make a thoughtful addition to cultural preparations and balanced diets.</t>
  </si>
  <si>
    <t>Daily Nutrition</t>
  </si>
  <si>
    <t>INV-4782643e</t>
  </si>
  <si>
    <t>1_a6GCWP-K5jzO9DcTbfKpGCZTdpR7Cz5</t>
  </si>
  <si>
    <t>Ganneru leaves provide beneficial plant compounds and natural antioxidants that support overall well-being.</t>
  </si>
  <si>
    <t>INV-fc7e6853</t>
  </si>
  <si>
    <t>1UOArZG0OwS0FYnzmNGye5aM3HPAiEfAN</t>
  </si>
  <si>
    <t>Peepal leaves contain beneficial plant compounds and antioxidants that support overall daily wellness. They are commonly used in traditional culinary infusions.</t>
  </si>
  <si>
    <t>1UzZsoGUqTyuJL8vrU344lSQ_L6QWwSBm</t>
  </si>
  <si>
    <t>Thotakura (amaranth leaves) is a nutrient-dense green rich in essential vitamins and minerals that support daily vitality. It provides a good source of dietary fiber and micronutrients to complement a balanced diet.</t>
  </si>
  <si>
    <t>Iron-Rich, Calcium-Rich, Vitamin-C, High-Fiber</t>
  </si>
  <si>
    <t>Iron &amp; Blood Nutrition, Bone Nutrition, Daily Nutrition, Weight-Conscious Choices</t>
  </si>
  <si>
    <t>INV-8821b382</t>
  </si>
  <si>
    <t>1Tz769Y2A4TsijlVKpVxj8mwXzpTUdkJi</t>
  </si>
  <si>
    <t>Pomegranate leaves are rich in beneficial plant compounds and dietary fiber that support everyday wellness. They make a nutritious addition to your balanced diet.</t>
  </si>
  <si>
    <t>High-Fiber, Antioxidants, Vitamin-C</t>
  </si>
  <si>
    <t>INV-4a48b835</t>
  </si>
  <si>
    <t>1AR-b7PVIaEa-SstBqanE5mn_uvQOmB1V</t>
  </si>
  <si>
    <t>Snake gourd is a hydrating and low-calorie vegetable that provides dietary fiber to support everyday wellness.</t>
  </si>
  <si>
    <t>High-Fiber, Hydrating, Low-Calorie</t>
  </si>
  <si>
    <t>Weight-Conscious Choices, Digestive Wellness, Hydration</t>
  </si>
  <si>
    <t>INV-0b968690</t>
  </si>
  <si>
    <t>1_kcHqjLUZBG5fFYZfwwyy6f36L3kV5gw</t>
  </si>
  <si>
    <t>Brihati leaves are a nutritious addition to your meals, providing valuable dietary fiber and essential plant nutrients to support everyday wellness.</t>
  </si>
  <si>
    <t>1VYMYUahfj47jA_LCwC1upRe9vzi7MuBc</t>
  </si>
  <si>
    <t>Green cucumbers have a high water content that helps keep you hydrated throughout the day. They are also very low in calories, making them a refreshing and light addition to your meals.</t>
  </si>
  <si>
    <t>Hydrating, Low-Calorie</t>
  </si>
  <si>
    <t>Hydration, Weight-Conscious Choices, Skin Wellness</t>
  </si>
  <si>
    <t>Reset_ID</t>
  </si>
  <si>
    <t>OTP_Hash</t>
  </si>
  <si>
    <t>OTP_Salt</t>
  </si>
  <si>
    <t>Created_At</t>
  </si>
  <si>
    <t>Expires_At</t>
  </si>
  <si>
    <t>Attempt_Count</t>
  </si>
  <si>
    <t>1uRBs4rrMvrDmdwfUO5den6Xo79Gte-MG</t>
  </si>
  <si>
    <t>Verified_At</t>
  </si>
  <si>
    <t>Cluster beans are a nutritious green vegetable packed with dietary fiber and essential vitamins to support your daily wellness.</t>
  </si>
  <si>
    <t>Used_At</t>
  </si>
  <si>
    <t>High-Fiber, Vitamin-C, Low-Calorie</t>
  </si>
  <si>
    <t>PINRESET-02750F821BC94E8B</t>
  </si>
  <si>
    <t>ec72193b582863e067c8cf0d7d75de57b3b3206229e1fecd90ff2d9fd544d504</t>
  </si>
  <si>
    <t>INV-995a1e25</t>
  </si>
  <si>
    <t>616dd1f66c764f1c850b1ffabeaa4c37</t>
  </si>
  <si>
    <t>PINRESET-04A32FC47BE64ED8</t>
  </si>
  <si>
    <t>f149d8da48af01c8a83b9dea8ab4c9cb8a6f0185a2a3b757794471f509300503</t>
  </si>
  <si>
    <t>d6c23b0fac374c45bf38b4c6d8f94140</t>
  </si>
  <si>
    <t>1rtkikQbad58stcwloHs1IKiZBA0Wr9S8</t>
  </si>
  <si>
    <t>SUPERSEDED</t>
  </si>
  <si>
    <t>Vavili leaves are a nutrient-dense traditional green loaded with beneficial plant compounds that support everyday wellness. They provide valuable micronutrients to help maintain a balanced daily diet.</t>
  </si>
  <si>
    <t>PINRESET-C0F3223AFF1B45FC</t>
  </si>
  <si>
    <t>42011bb0bb7b72d61e676ab127c1f04b2f4b4e4d7a5c34085b36752956a12b72</t>
  </si>
  <si>
    <t>4bd8b5aac2ad4b939542fd41bf08dacf</t>
  </si>
  <si>
    <t>INV-e52fd6ba</t>
  </si>
  <si>
    <t>PINRESET-A15FD976F20C4ADB</t>
  </si>
  <si>
    <t>a781213c93c4905a3193e42387f86dc43bb9fa4941790336bc51a8419abc5215</t>
  </si>
  <si>
    <t>c8416831eeb3405db01c8f42a5c1af45</t>
  </si>
  <si>
    <t>VERIFIED</t>
  </si>
  <si>
    <t>PINRESET-F29956476BF44849</t>
  </si>
  <si>
    <t>33568941c37f704673ca827f90f2dafe2c60fee18bdeb787a755cfe33cb69a6f</t>
  </si>
  <si>
    <t>57089fedbedb4935ba510bf9633e62d2</t>
  </si>
  <si>
    <t>Out of Stock</t>
  </si>
  <si>
    <t>USED</t>
  </si>
  <si>
    <t>1lTJCSk0DcK1nkNY12pnrXdVVVCCVzi1P</t>
  </si>
  <si>
    <t>Jilledu leaves are packed with beneficial plant compounds and antioxidants that support overall well-being. They make a traditional addition to wellness practices.</t>
  </si>
  <si>
    <t>INV-218dd7e4</t>
  </si>
  <si>
    <t>1NaaEReG6NP0dNhF8TGrwZzQMu6vnZTHu</t>
  </si>
  <si>
    <t>Hibiscus leaves are rich in beneficial plant compounds and natural antioxidants that support overall wellness. They also provide essential nutrients that contribute to daily vitality.</t>
  </si>
  <si>
    <t>Antioxidants, Vitamin-C, Low-Calorie</t>
  </si>
  <si>
    <t>Skin Wellness, Hair &amp; Nutrition, Immune Nutrition, Daily Nutrition</t>
  </si>
  <si>
    <t>INV-ae739577</t>
  </si>
  <si>
    <t>1lI8TMnJHr2AdV92kwsQS6-Bfa8qW-DIS</t>
  </si>
  <si>
    <t>Gorenta leaves are a nutritious leafy green that provides essential micronutrients and dietary fiber to support your daily wellness.</t>
  </si>
  <si>
    <t>High-Fiber, Iron-Rich, Antioxidants</t>
  </si>
  <si>
    <t>1uNwdpQEnxlcDM7IRwBbfJeDWd3Fr9leN</t>
  </si>
  <si>
    <t>While primarily used for traditional food presentation, banana leaves are rich in natural plant antioxidants like polyphenol oxidase that can infuse lightly into warm foods.</t>
  </si>
  <si>
    <t>&lt;Antioxidants&gt;</t>
  </si>
  <si>
    <t>&lt;Daily Nutrition&gt;</t>
  </si>
  <si>
    <t>INV-100b7979</t>
  </si>
  <si>
    <t>1255AqmQ1wWVvj6FKw7bpgTfYbfxAGGri</t>
  </si>
  <si>
    <t>Fresh rose petals contain natural antioxidants and offer a delicate, fragrant addition to culinary creations and herbal infusions.</t>
  </si>
  <si>
    <t>Antioxidants, Hydrating</t>
  </si>
  <si>
    <t>Skin Wellness, Daily Nutrition</t>
  </si>
  <si>
    <t>1YfFziQHCa3vIdRZ525WTyrnPGov09-EE</t>
  </si>
  <si>
    <t>Hibiscus flowers are packed with natural antioxidants and vitamin C, making them a refreshing addition to herbal teas and wellness drinks.</t>
  </si>
  <si>
    <t>Skin Wellness, Hair &amp; Nutrition, Hydration, Daily Nutrition</t>
  </si>
  <si>
    <t>INV-b310470c</t>
  </si>
  <si>
    <t>Low Stock</t>
  </si>
  <si>
    <t>15vU8R7aBwWkgGGrbFK8M951eliGwX0-i</t>
  </si>
  <si>
    <t>Crossandra flowers, commonly known as Kanakambaram, are primarily used for ornamental and aesthetic purposes in South India rather than as an edible food item. As a non-food floral product, they do not provide nutritional benefits or dietary value.</t>
  </si>
  <si>
    <t>Low-Calorie, Hydrating</t>
  </si>
  <si>
    <t>1YldMRFd0bD13uhcTpb1eTRZtAJKzZFf_</t>
  </si>
  <si>
    <t>Fresh coconut is rich in healthy fats that provide sustained energy and supports overall daily nutrition. It also offers dietary fiber to help support healthy digestion.</t>
  </si>
  <si>
    <t>High-Fiber, Healthy-Fats, Energy-Dense</t>
  </si>
  <si>
    <t>1T862mD_L1dgBPEiMrt7EYMidP_Xpjkjk</t>
  </si>
  <si>
    <t>Bananas provide a natural source of quick energy and dietary fiber to support your daily wellness. They are also packed with essential minerals that help maintain overall vitality.</t>
  </si>
  <si>
    <t>Potassium-Rich, High-Fiber, Energy-Dense</t>
  </si>
  <si>
    <t>Daily Nutrition, Digestive Wellness, Heart-Friendly Choices</t>
  </si>
  <si>
    <t>1qlaOH7owjhyHT4TZfCUPazOlMQZxnB3K</t>
  </si>
  <si>
    <t>Taro root is a great source of dietary fiber and complex carbohydrates, supporting steady energy levels and digestive health.</t>
  </si>
  <si>
    <t>High-Fiber, Potassium-Rich</t>
  </si>
  <si>
    <t>1M3fmwrB35YsHd7oP4mRXdLcFh71FLj9A</t>
  </si>
  <si>
    <t>Spine Gourd is a nutrient-dense vegetable rich in dietary fiber and essential vitamins that support everyday vitality. It makes a great wholesome addition to balanced meals.</t>
  </si>
  <si>
    <t>High-Fiber, Vitamin-C, Low-Calorie, Antioxidants</t>
  </si>
  <si>
    <t>Weight-Conscious Choices, Digestive Wellness, Immune Nutrition, Daily Nutrition</t>
  </si>
  <si>
    <t>INV-46c60f8a</t>
  </si>
  <si>
    <t>Generated_Order_ID</t>
  </si>
  <si>
    <t>Request_Date</t>
  </si>
  <si>
    <t>Order_Source</t>
  </si>
  <si>
    <t>Full_WhatsApp_Message</t>
  </si>
  <si>
    <t>Requested_Type</t>
  </si>
  <si>
    <t>Basket_Type_ID</t>
  </si>
  <si>
    <t>1RO7JQYyG7Yrd0NaKhS40TGVTzjhVvxAh</t>
  </si>
  <si>
    <t>Fresh French beans are a crisp source of dietary fiber that supports everyday wellness. They also provide essential vitamins to help keep your daily meals nutritious and balanced.</t>
  </si>
  <si>
    <t>Request_Status</t>
  </si>
  <si>
    <t>Distance_Charge</t>
  </si>
  <si>
    <t xml:space="preserve">Quoted_Total
</t>
  </si>
  <si>
    <t>Sudha rani</t>
  </si>
  <si>
    <t>1Z0fJ1nc-b1_y6zSzCxQZaDiG6dD7oBZ1</t>
  </si>
  <si>
    <t>Subedhari</t>
  </si>
  <si>
    <t>Marigold flowers are rich in beneficial plant compounds that provide natural antioxidants to support overall well-being. They also contain carotenoids that contribute to healthy vision.</t>
  </si>
  <si>
    <t>Subedhari,Sri Sai colony, near Domino's Pizza</t>
  </si>
  <si>
    <t>Vitamin-A, Antioxidants</t>
  </si>
  <si>
    <t>Website</t>
  </si>
  <si>
    <t>Eye Nutrition, Daily Nutrition</t>
  </si>
  <si>
    <t>INV-61e38fcf</t>
  </si>
  <si>
    <t>Tomorrow evening</t>
  </si>
  <si>
    <t>1MODkgtaP_dnoo6e5TLK2gMRvY1QEfjnP</t>
  </si>
  <si>
    <t>Marigold flowers are rich in beneficial plant compounds that provide natural antioxidants to support overall well-being. They also contain pigments that contribute to eye health.</t>
  </si>
  <si>
    <t>Eye Nutrition, Skin Wellness, Daily Nutrition</t>
  </si>
  <si>
    <t>Charan</t>
  </si>
  <si>
    <t>Hanamakonda  kapuwada</t>
  </si>
  <si>
    <t>7/6/183/1</t>
  </si>
  <si>
    <t>1e1aNUYHmZDRI4FZ3-BhGhYM1rPc9y6u0</t>
  </si>
  <si>
    <t>Broad beans are a nutritious source of plant-based protein and dietary fiber to support your daily wellness. They also provide essential vitamins and minerals for overall vitality.</t>
  </si>
  <si>
    <t>High-Fiber, Plant-Protein, Folate-Rich, Iron-Rich</t>
  </si>
  <si>
    <t>ORD-REQ-1789802528882</t>
  </si>
  <si>
    <t>Digestive Wellness, Strength &amp; Protein, Weight-Conscious Choices, Daily Nutrition</t>
  </si>
  <si>
    <t>Individual | Baskets: 0 | Individual Items: 5 | Order Amount: ₹166 | Delivery: ₹0 | Final Amount: ₹166</t>
  </si>
  <si>
    <t>Today evening</t>
  </si>
  <si>
    <t>Converted to order</t>
  </si>
  <si>
    <t>Driver Assigned</t>
  </si>
  <si>
    <t>1Z9oI52x3WO_3Ap1ViwsythnI77cmq_z1</t>
  </si>
  <si>
    <t>Potatoes are a great source of natural energy and provide essential vitamin C to support daily vitality.</t>
  </si>
  <si>
    <t>Vitamin-C, Potassium-Rich, Energy-Dense</t>
  </si>
  <si>
    <t>Gopi Krishna</t>
  </si>
  <si>
    <t>7-3-7, Machilibazar, Hanamkonda.</t>
  </si>
  <si>
    <t>Individual | Baskets: 0 | Individual Items: 1 | Order Amount: ₹19.75 | Delivery: ₹0 | Final Amount: ₹19.75</t>
  </si>
  <si>
    <t>1HfX8KcWNnemiYa_GAf9XSUQD6rNZQsnI</t>
  </si>
  <si>
    <t>Chrysanthemum greens and flowers are rich in essential vitamins and minerals that support overall vitality. They provide natural plant compounds that help maintain daily nutritional balance.</t>
  </si>
  <si>
    <t>Vitamin-A, Vitamin-C, Antioxidants</t>
  </si>
  <si>
    <t>Eye Nutrition, Immune Nutrition, Daily Nutrition</t>
  </si>
  <si>
    <t>ORD-REQ-1790316628957</t>
  </si>
  <si>
    <t>krishna</t>
  </si>
  <si>
    <t>hyderabad</t>
  </si>
  <si>
    <t>3-1-534, uppal,srinagar colony</t>
  </si>
  <si>
    <t>19M7wZmWNWVZVnovW6v6gJzjC4dHoXn0h</t>
  </si>
  <si>
    <t>Individual | Baskets: 0 | Individual Items: 2 | Order Amount: ₹316 | Delivery: ₹29 | Final Amount: ₹345</t>
  </si>
  <si>
    <t>Fresh maize is a wholesome source of dietary fiber that supports everyday wellness and provides sustained energy.</t>
  </si>
  <si>
    <t>High-Fiber, Energy-Dense</t>
  </si>
  <si>
    <t>INV-b07954d9</t>
  </si>
  <si>
    <t>ORD-REQ-1790326699085</t>
  </si>
  <si>
    <t>1JXobcY4WEcpyiNyTF0cZp7CMoUsJJ9XV</t>
  </si>
  <si>
    <t>Individual | Baskets: 0 | Individual Items: 10 | Order Amount: ₹216.25 | Delivery: ₹49 | Final Amount: ₹265.25</t>
  </si>
  <si>
    <t>Fresh radish is naturally low in calories and packed with essential hydration, making it a crisp, refreshing addition to your daily meals. It also provides a natural source of dietary fiber to support everyday wellness.</t>
  </si>
  <si>
    <t>Not Scheduled</t>
  </si>
  <si>
    <t>INV-e06f7fd3</t>
  </si>
  <si>
    <t>Individual | Baskets: 0 | Individual Items: 11 | Order Amount: ₹318.5 | Delivery: ₹29 | Final Amount: ₹347.5</t>
  </si>
  <si>
    <t>Out for Delivery</t>
  </si>
  <si>
    <t>1Wbj01cdA6VWLZ9GVkhOvKlg_G8V_hd9u</t>
  </si>
  <si>
    <t>Aloe vera gel is naturally hydrating and contains helpful antioxidants that support overall wellness.</t>
  </si>
  <si>
    <t>Hydrating, Antioxidants, Low-Calorie</t>
  </si>
  <si>
    <t>Skin Wellness, Hydration, Digestive Wellness</t>
  </si>
  <si>
    <t>ORD-REQ-1790986416177</t>
  </si>
  <si>
    <t>Individual | Baskets: 0 | Individual Items: 4 | Order Amount: ₹162 | Delivery: ₹49 | Final Amount: ₹211</t>
  </si>
  <si>
    <t>1HgNjbt5spB4CAybdDYDRzWivgbt_aBHM</t>
  </si>
  <si>
    <t>Apples are rich in dietary fiber and essential vitamins that support everyday vitality. They make a crisp, wholesome addition to a balanced daily diet.</t>
  </si>
  <si>
    <t>Weight-Conscious Choices, Digestive Wellness, Daily Nutrition, Heart-Friendly Choices</t>
  </si>
  <si>
    <t>INV-3f6561bd</t>
  </si>
  <si>
    <t>14ezwImq1NvAIxEzxVYFHGnCeWhGyQKVI</t>
  </si>
  <si>
    <t>Sweet corn is a good source of dietary fiber that supports healthy digestion and provides sustained energy.</t>
  </si>
  <si>
    <t>1TjRT62W1JcscsB_ry4VektC6i6luKdyL</t>
  </si>
  <si>
    <t>Barnyard Millet is a nutritious whole grain naturally rich in dietary fiber that supports everyday wellness. It provides a wholesome energy source for balanced daily meals.</t>
  </si>
  <si>
    <t>High-Fiber, Low-Calorie, Energy-Dense</t>
  </si>
  <si>
    <t>1dVqQ3f1wSZMezkeTEslZFuAw2Bx652vj</t>
  </si>
  <si>
    <t>Finger Millet (Ragi) is packed with essential nutrients that support overall vitality and sustained daily energy. It is an excellent whole-grain addition to balanced meals.</t>
  </si>
  <si>
    <t>Calcium-Rich, High-Fiber, Iron-Rich</t>
  </si>
  <si>
    <t>Bone Nutrition, Digestive Wellness, Daily Nutrition</t>
  </si>
  <si>
    <t>1GudcAiW21gvRhHu61O9dNtMyO1gh_8e5</t>
  </si>
  <si>
    <t>Foxtail Millet is a nutritious whole grain rich in dietary fiber, helping to support daily digestion and sustained energy levels.</t>
  </si>
  <si>
    <t>High-Fiber, Plant-Protein, Energy-Dense</t>
  </si>
  <si>
    <t>1LpdGNgOv-EB79xBDmpMWpQKBFx-aUjiO</t>
  </si>
  <si>
    <t>Kodo millet is a wholesome whole grain that provides sustained energy and supports healthy digestion. It is a nutritious alternative to polished rice for everyday meals.</t>
  </si>
  <si>
    <t>High-Fiber, Plant-Protein, Iron-Rich</t>
  </si>
  <si>
    <t>1cPwcEinsye70zLshp4npG-FyEwm01AXs</t>
  </si>
  <si>
    <t>Little Millet (Samalu) is a wholesome grain rich in dietary fiber that supports everyday vitality and wholesome nutrition.</t>
  </si>
  <si>
    <t>1rrWu4iMMIGsA8MhzToxpiLe-NeAse8eI</t>
  </si>
  <si>
    <t>Pearl Millet (Sajjalu) is a wholesome whole grain packed with dietary fiber and essential plant-based nutrients that support daily vitality. It helps sustain steady energy levels and supports overall well-being.</t>
  </si>
  <si>
    <t>1aL6oThjx_lIh-yBi_WxE5Ua47otqRr0K</t>
  </si>
  <si>
    <t>Proso Millet (Variga) is a nutritious whole grain that provides dietary fiber to support digestion and complex carbohydrates for sustained daily energy.</t>
  </si>
  <si>
    <t>High-Fiber, Plant-Protein</t>
  </si>
  <si>
    <t>1q6BPFdbaenr2jql4AR2lAQUsGSCn2jpY</t>
  </si>
  <si>
    <t>Sorghum is a nutritious whole grain rich in dietary fiber that supports everyday wellness and digestion. It also provides plant-based protein and essential minerals to help power your daily activities.</t>
  </si>
  <si>
    <t>Subscription_ID</t>
  </si>
  <si>
    <t>Customer_ID</t>
  </si>
  <si>
    <t>Phone</t>
  </si>
  <si>
    <t>Subscription_Price</t>
  </si>
  <si>
    <t>1ddflS5eRfIRUWt-xWQb_mLHQYbiaiczz</t>
  </si>
  <si>
    <t>Frequency</t>
  </si>
  <si>
    <t>Delivery_Day</t>
  </si>
  <si>
    <t>Jaggery provides a natural source of quick energy and contains essential minerals like iron. It serves as a wholesome, unrefined alternative to traditional sugar.</t>
  </si>
  <si>
    <t>Next_Delivery_Date</t>
  </si>
  <si>
    <t>Iron-Rich, Energy-Dense</t>
  </si>
  <si>
    <t>Start_Date</t>
  </si>
  <si>
    <t>Daily Nutrition, Energy Support</t>
  </si>
  <si>
    <t>End_Date</t>
  </si>
  <si>
    <t>Last_Order_Date</t>
  </si>
  <si>
    <t>SUB-F4412DE7BD</t>
  </si>
  <si>
    <t>CUS-0803244663</t>
  </si>
  <si>
    <t>Test Customer</t>
  </si>
  <si>
    <t>Test Area</t>
  </si>
  <si>
    <t>NITYA</t>
  </si>
  <si>
    <t>Weekly</t>
  </si>
  <si>
    <t>Monday</t>
  </si>
  <si>
    <t>Test Address</t>
  </si>
  <si>
    <t>Subscription validation test</t>
  </si>
  <si>
    <t>1zShtPbJbD1R5PkwgNut_PnMUn2yvCLCZ</t>
  </si>
  <si>
    <t>Moong dal is a nutritious legume that provides wholesome plant protein and dietary fiber to support daily nutrition. It is easy to digest and helps keep you feeling full and energized.</t>
  </si>
  <si>
    <t>High-Protein, High-Fiber, Plant-Protein</t>
  </si>
  <si>
    <t>Strength &amp; Protein, Digestive Wellness, Daily Nutrition</t>
  </si>
  <si>
    <t>1kx-SDDjXRjSxylHnTr9gstzv-a4VQEWR</t>
  </si>
  <si>
    <t>Toor Dal is a wholesome source of plant-based protein and dietary fiber that supports daily nutrition and satiety. It helps fuel your body with essential nutrients for everyday vitality.</t>
  </si>
  <si>
    <t>Strength &amp; Protein, Daily Nutrition, Digestive Wellness</t>
  </si>
  <si>
    <t>INV-621c4507</t>
  </si>
  <si>
    <t>1jmWQ0Xb-FZXbJIQmOm7ckWx1f9aGb9eQ</t>
  </si>
  <si>
    <t>Kobbari Bondam (tender coconut water) is a refreshing, natural beverage rich in essential electrolytes that help maintain body hydration. It is also naturally low in calories, making it a wholesome addition to a balanced daily routine.</t>
  </si>
  <si>
    <t>Hydrating, Potassium-Rich, Low-Calorie</t>
  </si>
  <si>
    <t>1rvsoZm-jmHKyE_eJxWXKBD0ifZJdY9Yn</t>
  </si>
  <si>
    <t>Tamarind is a rich source of antioxidants and provides essential minerals that support overall wellness. It adds a tangy flavor and dietary fiber to your daily meals.</t>
  </si>
  <si>
    <t>Antioxidants, High-Fiber, Iron-Rich</t>
  </si>
  <si>
    <t>1GX4jAVcsiqv3qw6gpfgB8uzzbSC2U7xX</t>
  </si>
  <si>
    <t>Sambar powder is a flavorful blend of spices and lentils that provides essential minerals and dietary fiber to support your daily nutrition. Rich in warming spices, it adds both delicious depth and wholesome nourishment to traditional meals.</t>
  </si>
  <si>
    <t>Digestive Wellness, Heart-Friendly Choices, Daily Nutrition</t>
  </si>
  <si>
    <t>Subscription_Order_ID</t>
  </si>
  <si>
    <t>Delivery_Date</t>
  </si>
  <si>
    <t>Processed_At</t>
  </si>
  <si>
    <t>SUBORD-1DE20A599F</t>
  </si>
  <si>
    <t>TEST - Weekly subscription order</t>
  </si>
  <si>
    <t>Message_ID</t>
  </si>
  <si>
    <t>Message_Type</t>
  </si>
  <si>
    <t>Message</t>
  </si>
  <si>
    <t>Sent_At</t>
  </si>
  <si>
    <t>WhatsApp_Link</t>
  </si>
  <si>
    <t>WAM-1790316632276</t>
  </si>
  <si>
    <t>REQUEST_RECEIVED</t>
  </si>
  <si>
    <t>Hello krishna,
We have received your request with Amruta Dhaanya.
Request ID: REQ-1790316628957
🛒 Your selected items:
• Maize (Mokkajonna) – 1 kg × ₹85.00 = ₹85.00
• Custard Apple (Sitaphal) – 11 piece × ₹21.00 = ₹231.00
Order Amount: ₹316.00
Delivery: ₹29.00
Total: ₹345.00
We are checking the requested stock and quality. We will confirm your order shortly.
Thank you,
Amruta Dhaanya</t>
  </si>
  <si>
    <t>12:10PM</t>
  </si>
  <si>
    <t>WAM-1790326706176</t>
  </si>
  <si>
    <t>Hello Rishab,
We have received your request with Amruta Dhaanya.
Request ID: REQ-1790326699085
🛒 Your selected items:
• Tomato – 0.75 kg × ₹36.00 = ₹27.00
• Green Chilli – 0.25 kg × ₹62.00 = ₹15.50
• Brinjal (Eggplant) – 0.5 kg × ₹43.00 = ₹21.50
• Cauliflower – 0.25 kg × ₹44.00 = ₹11.00
• Onion Big – 0.5 kg × ₹79.00 = ₹39.50
• Purple Baby Brinjal (గుత్తి వంకాయ) – 0.5 kg × ₹49.00 = ₹24.50
• Green Cucumber (Kakdi) – 0.25 kg × ₹44.00 = ₹11.00
• Spinach (Palakura) – 1 bundle × ₹18.00 = ₹18.00
• Okra (Lady's Finger) – 0.25 kg × ₹46.00 = ₹11.50
• Spine Gourd (Boda Kakarakaya / Kantola) – 0.25 kg × ₹147.00 = ₹36.75
Order Amount: ₹216.25
Delivery: ₹49.00
Total: ₹265.25
We are checking the requested stock and quality. We will confirm your order shortly.
Thank you,
Amruta Dhaanya</t>
  </si>
  <si>
    <t>WAM-1790390062121</t>
  </si>
  <si>
    <t>Hello Sumalatha,
We have received your request with Amruta Dhaanya.
Request ID: REQ-1790390054867
🛒 Your selected items:
• Okra (Lady's Finger) – 0.5 kg × ₹46.00 = ₹23.00
• Tomato – 1.5 kg × ₹36.00 = ₹54.00
• Bitter Gourd (Kakarakaya) – 0.5 kg × ₹49.00 = ₹24.50
• Cabbage – 0.5 kg × ₹45.00 = ₹22.50
• White Brinjal (తెల్ల వంకాయ) – 0.5 kg × ₹40.00 = ₹20.00
• Cluster Beans (Goru Chikkudu) – 0.5 kg × ₹59.00 = ₹29.50
• Spine Gourd (Boda Kakarakaya / Kantola) – 0.25 kg × ₹147.00 = ₹36.75
• Broad Beans (Chikkudukaya) – 0.5 kg × ₹49.00 = ₹24.50
• Buffalo Milk (Gedhe Paalu) – 0.5 litre × ₹99.00 = ₹49.50
• Curry Leaves (Karivepaku) – 1 bundle × ₹13.00 = ₹13.00
• Maize (Mokkajonna) – 0.25 kg × ₹85.00 = ₹21.25
Order Amount: ₹318.50
Delivery: ₹29.00
Total: ₹347.50
We are checking the requested stock and quality. We will confirm your order shortly.
Thank you,
Amruta Dhaanya</t>
  </si>
  <si>
    <t>WAM-1790986419034</t>
  </si>
  <si>
    <t>Hello Ranadheer Reddy Donthi,
We have received your request with Amruta Dhaanya.
Request ID: REQ-1790986416177
🛒 Your selected items:
• Tomato – 0.5 kg × ₹41.00 = ₹20.50
• Ivy Gourd (Dondakaya) – 0.25 kg × ₹44.00 = ₹11.00
• Green Chilli – 0.25 kg × ₹62.00 = ₹15.50
• Apple (Seema Apple) – 0.5 kg × ₹230.00 = ₹115.00
Order Amount: ₹162.00
Delivery: ₹49.00
Total: ₹211.00
We are checking the requested stock and quality. We will confirm your order shortly.
Thank you,
Amruta Dhaanya</t>
  </si>
  <si>
    <t>WAM-1791096509516</t>
  </si>
  <si>
    <t>REQ-1791096507523</t>
  </si>
  <si>
    <t>BACKEND TEST CUSTOMER</t>
  </si>
  <si>
    <t>Hello BACKEND TEST CUSTOMER,
We have received your request with Amruta Dhaanya.
Request ID: REQ-1791096507523
🛒 Your selected items:
• Nitya Basket – 1 basket × ₹180.00 = ₹180.00
• Tomato – 2 kg × ₹50.00 = ₹100.00
Order Amount: ₹280.00
Delivery: ₹65.00
Distance charge included: ₹16.00 (8.58 km)
Total: ₹345.00
This is your quoted amount based on the delivery address provided.
We are checking the requested stock and quality. We will confirm your order shortly.
Thank you,
Amruta Dhaanya</t>
  </si>
  <si>
    <t>Salt</t>
  </si>
  <si>
    <t>Generated_Time</t>
  </si>
  <si>
    <t>Expiry_Time</t>
  </si>
  <si>
    <t>Attempts</t>
  </si>
  <si>
    <t>Request_Window_Start</t>
  </si>
  <si>
    <t>Request_Count</t>
  </si>
  <si>
    <t>bQoZ4aO3Acm/gQRwb611ILHt8POvb1n8i3/DEZgoxH4=</t>
  </si>
  <si>
    <t>5997e6fe-e6a7-43e3-acee-5be64c361ff4</t>
  </si>
  <si>
    <t>WAM-1791097315924</t>
  </si>
  <si>
    <t>RTOTQ+oYjtxuRmJLera9ctUP6/hb2qMKqpUgEv5CI1o=</t>
  </si>
  <si>
    <t>REQ-1791097312805</t>
  </si>
  <si>
    <t>581081a4-5b23-40a6-888b-04ff67af59ab</t>
  </si>
  <si>
    <t>kalyan</t>
  </si>
  <si>
    <t>Hello kalyan,
We have received your request with Amruta Dhaanya.
Request ID: REQ-1791097312805
🛒 Your selected items:
• Nitya Basket – 1 basket × ₹259.00 = ₹259.00
Order Amount: ₹259.00
Delivery: ₹73.00
Distance charge included: ₹24.00 (10.82 km)
Total: ₹332.00
This is your quoted amount based on the delivery address provided.
We are checking the requested stock and quality. We will confirm your order shortly.
Thank you,
Amruta Dhaanya</t>
  </si>
  <si>
    <t>IKUDOc2/vTcgg+bOxI0/0tddCfrzyhFg/t7ILRAr9q0=</t>
  </si>
  <si>
    <t>8babb246-9a85-4caf-b727-7c0c55ae25f5</t>
  </si>
  <si>
    <t>0UwDEVOVhxLrTxvVYoV6NPfTgRB+R4sC+WRjZyq0vNo=</t>
  </si>
  <si>
    <t>a422632c-de8f-4e2d-b853-c0e307e90778</t>
  </si>
  <si>
    <t>WAM-1791097539397</t>
  </si>
  <si>
    <t>REQ-1791097537739</t>
  </si>
  <si>
    <t>7wqQrFZlurcyggqvjuplfuKdo6JqEDg2gNKDCMey3N0=</t>
  </si>
  <si>
    <t>d1618f09-4bba-4b97-9382-b36fc74165cd</t>
  </si>
  <si>
    <t>Hello kalyan,
We have received your request with Amruta Dhaanya.
Request ID: REQ-1791097537739
🛒 Your selected items:
• Ivy Gourd (Dondakaya) – 10 kg × ₹44.00 = ₹440.00
Order Amount: ₹440.00
Delivery: ₹67.00
Distance charge included: ₹28.00 (11.24 km)
Total: ₹507.00
This is your quoted amount based on the delivery address provided.
We are checking the requested stock and quality. We will confirm your order shortly.
Thank you,
Amruta Dhaanya</t>
  </si>
  <si>
    <t>cFmttP20Q9EcHXO95SOMcU+wdZHFRc2/ifIkkamUmgI=</t>
  </si>
  <si>
    <t>91d346c9-3a7f-4920-aa46-ffe37b891a09</t>
  </si>
  <si>
    <t>ckGer7HCRS9rXp30pF00EldJMccBKVJnF890ESkFAwg=</t>
  </si>
  <si>
    <t>WAM-1791113608446</t>
  </si>
  <si>
    <t>0ba628e7-2aa7-4643-b4bc-d6e67bd5de4b</t>
  </si>
  <si>
    <t>Hello Manideep,
We have received your request with Amruta Dhaanya.
Request ID: REQ-1791113603381
🛒 Your selected items:
• Ridge Gourd (Beerakaya) – 0.25 kg × ₹45.00 = ₹11.25
• Yellow Cucumber (Dosakaya) – 0.25 kg × ₹39.00 = ₹9.75
• Tomato – 0.25 kg × ₹41.00 = ₹10.25
• Ivy Gourd (Dondakaya) – 0.25 kg × ₹44.00 = ₹11.00
• Green Chilli – 4 kg × ₹62.00 = ₹248.00
Order Amount: ₹290.00
Delivery: ₹61.00
Distance charge included: ₹12.00 (7.96 km)
Total: ₹351.00
This is your quoted amount based on the delivery address provided.
We are checking the requested stock and quality. We will confirm your order shortly.
Thank you,
Amruta Dhaanya</t>
  </si>
  <si>
    <t>WAM-1791462710541</t>
  </si>
  <si>
    <t>REQ-1791462707307</t>
  </si>
  <si>
    <t>Amruta</t>
  </si>
  <si>
    <t>Hello Amruta,
We have received your request with Amruta Dhaanya.
Request ID: REQ-1791462707307
🛒 Your selected items:
• Sangamam Basket – 1 basket × ₹237.00 = ₹237.00
Order Amount: ₹237.00
Delivery: ₹49.00
Distance charge included: ₹4.00 (10.42 km)
Total: ₹286.00
This is your quoted amount based on the delivery address provided.
We are checking the requested stock and quality. We will confirm your order shortly.
Thank you,
Amruta Dhaanya</t>
  </si>
  <si>
    <t>WAM-1791472766128</t>
  </si>
  <si>
    <t>REQ-1791472763827</t>
  </si>
  <si>
    <t>amruta</t>
  </si>
  <si>
    <t>Hello amruta,
We have received your request with Amruta Dhaanya.
Request ID: REQ-1791472763827
🛒 Your selected items:
• Sangamam Basket – 1 basket × ₹249.00 = ₹249.00
Order Amount: ₹249.00
Delivery: ₹49.00
Distance charge included: ₹4.00 (10.42 km)
Total: ₹298.00
This is your quoted amount based on the delivery address provided.
We are checking the requested stock and quality. We will confirm your order shortly.
Thank you,
Amruta Dhaanya</t>
  </si>
  <si>
    <t>WAM-1791723888735</t>
  </si>
  <si>
    <t>REQ-1791723887078</t>
  </si>
  <si>
    <t>Hello kalyan,
We have received your request with Amruta Dhaanya.
Request ID: REQ-1791723887078
🛒 Your selected items:
• Radish (Mullangi) – 2.25 kg × ₹54.00 = ₹121.50
Order Amount: ₹122.00
Delivery: ₹58.00
Distance charge included: ₹4.00 (10.42 km)
Total: ₹180.00
This is your quoted amount based on the delivery address provided.
We are checking the requested stock and quality. We will confirm your order shortly.
Thank you,
Amruta Dhaanya</t>
  </si>
  <si>
    <t>OTP_ID</t>
  </si>
  <si>
    <t>Purpose</t>
  </si>
  <si>
    <t>Column 1</t>
  </si>
  <si>
    <t>Column 2</t>
  </si>
  <si>
    <t>Column 3</t>
  </si>
  <si>
    <t>Column 4</t>
  </si>
  <si>
    <t>Column 5</t>
  </si>
  <si>
    <t>Column 6</t>
  </si>
  <si>
    <t>Column 7</t>
  </si>
  <si>
    <t>Column 8</t>
  </si>
  <si>
    <t>Column 9</t>
  </si>
  <si>
    <t>Column 10</t>
  </si>
  <si>
    <t>Column 11</t>
  </si>
  <si>
    <t>Column 12</t>
  </si>
  <si>
    <t>Column 13</t>
  </si>
  <si>
    <t>Column 15</t>
  </si>
  <si>
    <t>Column 16</t>
  </si>
  <si>
    <t>Column 17</t>
  </si>
  <si>
    <t>OTP-991ef2d831cf4117</t>
  </si>
  <si>
    <t>01C9ZAgByynljtfvqe9GipoyxgOvBdbe89VXv88JXJw=</t>
  </si>
  <si>
    <t>0122105d-cc56-4cd9-965e-9280cce6d4c0</t>
  </si>
  <si>
    <t>REGISTRATION</t>
  </si>
  <si>
    <t>OTP-c56709b6450942bf</t>
  </si>
  <si>
    <t>YZgxleiHNP0QcVJ0azInhwJFBKxavDlAMxPuAbV+3uU=</t>
  </si>
  <si>
    <t>f99f8560-a2f8-426a-bb71-f1e049a4e69e</t>
  </si>
  <si>
    <t>OTP-d70b4c57472347d8</t>
  </si>
  <si>
    <t>6wsxPgNaDO8pytlepHeUA9/sR5bmXyNBMwTOrUa4His=</t>
  </si>
  <si>
    <t>c8d91b83-f586-4897-b179-1502caabd3d1</t>
  </si>
  <si>
    <t>OTP-28f6cd211be74d93</t>
  </si>
  <si>
    <t>B4Mdy+n8XruVmzV0UGJAKYfMOEdvaXAZW56Zde/1BAE=</t>
  </si>
  <si>
    <t>ba99714e-4929-4d72-846b-1608e80b73c8</t>
  </si>
  <si>
    <t>OTP-85484b4f23ba4a91</t>
  </si>
  <si>
    <t>imDqL3XT2gbx3TbdctINsUFSGi2/+fbaZom3WkR3uSo=</t>
  </si>
  <si>
    <t>70f7bc43-14ac-4e33-ac96-1517c30512e3</t>
  </si>
  <si>
    <t>OTP-3c440b709b0f41f4</t>
  </si>
  <si>
    <t>2daF6FWhdCTdy5QgRVJUgwzWUA6dkIRm3T2BDJP6VkA=</t>
  </si>
  <si>
    <t>d660318a-a410-470a-83df-a94d5a41176d</t>
  </si>
  <si>
    <t>OTP-8d9d659942664f59</t>
  </si>
  <si>
    <t>jnZp1VHqaHzXSXx3natl995WxdaX8kyxvdXQkcf/tSU=</t>
  </si>
  <si>
    <t>7083aad9-d6d1-4698-a10f-82ebd7aa1831</t>
  </si>
  <si>
    <t>OTP-02832e472f154f91</t>
  </si>
  <si>
    <t>iOCedoAK9tcZU6Ve1hBRNlBNVUrrGDXHP9oPecl7psM=</t>
  </si>
  <si>
    <t>ce5ba74f-9356-4fee-bc27-cac673de126f</t>
  </si>
  <si>
    <t>OTP-2fcb7ed5b21c4558</t>
  </si>
  <si>
    <t>AviScePbYM8NQ0Wdr4HkmIKRhUyV1tYvV8X9zAJuhyo=</t>
  </si>
  <si>
    <t>fa9dbee4-1910-4cfa-86d8-c17e4f9c8ff3</t>
  </si>
  <si>
    <t>OTP-cde9e3a3580946a4</t>
  </si>
  <si>
    <t>K4UHgNH3oBRD4KFI38wNS/esAPrLh0r0ebmNHCH8PjI=</t>
  </si>
  <si>
    <t>04ff4e1d-92ae-4992-a6af-34cd94f2c34a</t>
  </si>
  <si>
    <t>OTP-0ab8153ee25f4a0d</t>
  </si>
  <si>
    <t>zpmTygTDKiJ8JDqSzhuS9ee2vVDqVATb4GqqRJA+Od0=</t>
  </si>
  <si>
    <t>f81b2dd4-d45d-4a17-825d-95b59629f489</t>
  </si>
  <si>
    <t>OTP-39039456abbc449c</t>
  </si>
  <si>
    <t>yDYKI9ykL1jL0+RZz91Jp4zRxi3TWtdVrT8d2TiNtrM=</t>
  </si>
  <si>
    <t>e61b667e-0b34-477c-b378-b51cf4b5d603</t>
  </si>
  <si>
    <t>PIN_Hash</t>
  </si>
  <si>
    <t>OTP-fb56eaf1c77c4cb2</t>
  </si>
  <si>
    <t>PIN_Salt</t>
  </si>
  <si>
    <t>ikiSYJigrcCYy5ly75ypsbKAAPH5k7HmKW4YrZEJG2s=</t>
  </si>
  <si>
    <t>Account_Status</t>
  </si>
  <si>
    <t>4de54e6f-430f-4ceb-a459-79371f81890b</t>
  </si>
  <si>
    <t>Updated_At</t>
  </si>
  <si>
    <t>Last_Login_At</t>
  </si>
  <si>
    <t>Failed_Login_Count</t>
  </si>
  <si>
    <t>Locked_Until</t>
  </si>
  <si>
    <t>OTP-e332c61789d048a7</t>
  </si>
  <si>
    <t>AMD-CUST-001</t>
  </si>
  <si>
    <t>X2BAhtqHFSq+n6lvsc1/7QjSE8yZUDlTgK2vLv81jjw=</t>
  </si>
  <si>
    <t>42b08b43-5e5e-4972-93ae-764514d7e717</t>
  </si>
  <si>
    <t>8a4ab4e0817a607fcbdb94605c729cef197b36ee0f456cc66a8d6ba85de1a02a</t>
  </si>
  <si>
    <t>4f1f35d52b9545ae875b2064457a7408</t>
  </si>
  <si>
    <t>ACTIVE</t>
  </si>
  <si>
    <t>OTP-3170cdda08064c3f</t>
  </si>
  <si>
    <t>2/ALKNIAW4BpUYJtut1mfoseP8dhooIjW7RF71RkOIw=</t>
  </si>
  <si>
    <t>4386a3ea-1597-40ea-bee8-07f7a1ebc36b</t>
  </si>
  <si>
    <t>AMD-CUST-002</t>
  </si>
  <si>
    <t>OTP-ccd60a91c0464937</t>
  </si>
  <si>
    <t>eNZjq+Vz0iXtMJ3An20B8SxhLDhSzK8HNKfd5v5/dF8=</t>
  </si>
  <si>
    <t>Teja</t>
  </si>
  <si>
    <t>38fc1a01-5b3b-40c4-8a09-649de175f257</t>
  </si>
  <si>
    <t>5935d6984f3fa822e54a2872019c46b7ea0c4c98b32654c524bc6a356d226ed9</t>
  </si>
  <si>
    <t>e38c12799746450494e56cb515288fe4</t>
  </si>
  <si>
    <t>OTP-067c5d0e4d0e4e98</t>
  </si>
  <si>
    <t>nlF2Qlef+dylDkOzvBnhQ+rmDtKZSOs0keN1MIadf58=</t>
  </si>
  <si>
    <t>6641d5ee-7211-4110-96e4-2fa455686f0a</t>
  </si>
  <si>
    <t>AMD-CUST-003</t>
  </si>
  <si>
    <t>AKHIL KORE</t>
  </si>
  <si>
    <t>c038477e9999516e45b68d5fe40c29dddde977f86524a63e2a10df03b287e6e9</t>
  </si>
  <si>
    <t>19e7a8eac5a24f17ad2c9583121da9ee</t>
  </si>
  <si>
    <t>AMD-CUST-004</t>
  </si>
  <si>
    <t>Sravan Kavati</t>
  </si>
  <si>
    <t>549093bbe84cd0a1bb73e8d89e0486486604878767aeb640b7adc3c9b8085992</t>
  </si>
  <si>
    <t>47f3f516f70141159c3e307fe651ba19</t>
  </si>
  <si>
    <t>AMD-CUST-005</t>
  </si>
  <si>
    <t>Manideep Pittala</t>
  </si>
  <si>
    <t>3f2f3f3a3d2e1762bf28d7bb1421fff311e05e05695edd739e9e50a6d632b36b</t>
  </si>
  <si>
    <t>6e649cee847a475e861998683ebc452a</t>
  </si>
  <si>
    <t>AMD-CUST-006</t>
  </si>
  <si>
    <t>Shashi</t>
  </si>
  <si>
    <t>7da8e7d45fdafd5e7486874e0aba84647d8dce2673d48104f2e8201e7824fd07</t>
  </si>
  <si>
    <t>7ba1fd42ea1a497b9414cad5a93fa9b7</t>
  </si>
  <si>
    <t>Device_ID</t>
  </si>
  <si>
    <t>Token_Hash</t>
  </si>
  <si>
    <t>Token_Salt</t>
  </si>
  <si>
    <t>Issued_At</t>
  </si>
  <si>
    <t>Last_Used_At</t>
  </si>
  <si>
    <t>Revoked_At</t>
  </si>
  <si>
    <t>Audit_ID</t>
  </si>
  <si>
    <t>Action</t>
  </si>
  <si>
    <t>Success</t>
  </si>
  <si>
    <t>Failure_Reason</t>
  </si>
  <si>
    <t>IP_Info</t>
  </si>
  <si>
    <t>User_Agent</t>
  </si>
  <si>
    <t>Driver_ID</t>
  </si>
  <si>
    <t>Name</t>
  </si>
  <si>
    <t>warangal</t>
  </si>
  <si>
    <t>Task_ID</t>
  </si>
  <si>
    <t>Date</t>
  </si>
  <si>
    <t>Task Type</t>
  </si>
  <si>
    <t>Related ID</t>
  </si>
  <si>
    <t>Pickup From</t>
  </si>
  <si>
    <t>Drop-off To</t>
  </si>
  <si>
    <t>Area / Route</t>
  </si>
  <si>
    <t>Assigned Person</t>
  </si>
  <si>
    <t>Transport Mode</t>
  </si>
  <si>
    <t>Pickup Status</t>
  </si>
  <si>
    <t>Drop-off Status</t>
  </si>
  <si>
    <t>Logistics Status</t>
  </si>
  <si>
    <t>Collection_Charge</t>
  </si>
  <si>
    <t>Total_Logistics_Cost</t>
  </si>
  <si>
    <t>Security Code</t>
  </si>
  <si>
    <t>Confirmation Method</t>
  </si>
  <si>
    <t>Entered OTP</t>
  </si>
  <si>
    <t>Items_Count</t>
  </si>
  <si>
    <t>Order_Amount</t>
  </si>
  <si>
    <t>Final_Amount</t>
  </si>
  <si>
    <t>Order Summary</t>
  </si>
  <si>
    <t>TASK-e1994882</t>
  </si>
  <si>
    <t>Delivery</t>
  </si>
  <si>
    <t>Bike</t>
  </si>
  <si>
    <t>Assigned</t>
  </si>
  <si>
    <t>1408</t>
  </si>
  <si>
    <t>Individual | Items: 5 | Order Amount: Rs 242.5 | Delivery: Rs 49 | Final Amount: Rs 291.5</t>
  </si>
  <si>
    <t>Final bill calculated. Order Amount: Rs242.5,Delivery: Rs49, Final Amount: Rs291.5</t>
  </si>
  <si>
    <t>TASK-d0c7fe4e</t>
  </si>
  <si>
    <t>Completed</t>
  </si>
  <si>
    <t>3956</t>
  </si>
  <si>
    <t>Individual | Items: 10 | Order Amount: Rs 265.25 | Delivery: Rs 0 | Final Amount: Rs 265.25</t>
  </si>
  <si>
    <t>Final bill calculated. Order Amount: Rs265.25,Delivery: Rs0, Final Amount: Rs265.25| Processing started after payment.</t>
  </si>
  <si>
    <t>TASK-182737d3</t>
  </si>
  <si>
    <t>Picked Up</t>
  </si>
  <si>
    <t>2190</t>
  </si>
  <si>
    <t>Phone Call</t>
  </si>
  <si>
    <t>Individual | Items: 0 | Order Amount: Rs 347.5 | Delivery: Rs 0 | Final Amount: Rs 347.5</t>
  </si>
  <si>
    <t>Final bill calculated. Order Amount: Rs347.5,Delivery: Rs0, Final Amount: Rs347.5</t>
  </si>
  <si>
    <t>TASK-290fb842</t>
  </si>
  <si>
    <t>Scheduled</t>
  </si>
  <si>
    <t>2518</t>
  </si>
  <si>
    <t>Individual | Items: 0 | Order Amount: Rs 211 | Delivery: Rs 0 | Final Amount: Rs 211</t>
  </si>
  <si>
    <t>Final bill calculated. Order Amount: Rs211,Delivery: Rs0, Final Amount: Rs211</t>
  </si>
  <si>
    <t xml:space="preserve">Verification_ID </t>
  </si>
  <si>
    <t>Grower_ID</t>
  </si>
  <si>
    <t>Public_Status</t>
  </si>
  <si>
    <t>Verification_Status</t>
  </si>
  <si>
    <t>Valid_From</t>
  </si>
  <si>
    <t xml:space="preserve"> Valid_Until</t>
  </si>
  <si>
    <t xml:space="preserve">Public_Message </t>
  </si>
  <si>
    <t>Internal_Notes</t>
  </si>
  <si>
    <t>Which best describes you?</t>
  </si>
  <si>
    <t>Which area of Warangal do you live in?</t>
  </si>
  <si>
    <t>Where do you currently purchase your fresh produce?</t>
  </si>
  <si>
    <t>How satisfied are you with the prices and quality in the current market?</t>
  </si>
  <si>
    <t>What is one thing missing from your current food shopping experience?</t>
  </si>
  <si>
    <t>Which products would you like to access or share through Amruta Dhaanya? (Select all that apply)</t>
  </si>
  <si>
    <t>Would you like access to a daily fresh availability list?</t>
  </si>
  <si>
    <t>What matters most to you when buying food?</t>
  </si>
  <si>
    <t>Would you like to become an early member of Amruta Dhaanya?</t>
  </si>
  <si>
    <t>WhatsApp Number (Optional)</t>
  </si>
  <si>
    <t>How would you prefer to receive your fresh produce?</t>
  </si>
  <si>
    <t>Which days of the week are most convenient for you to receive fresh produce deliveries?</t>
  </si>
  <si>
    <t>Would you be interested in participating in community workshops on sustainable gardening or healthy traditional cooking?</t>
  </si>
  <si>
    <t>When you receive your produce, what packaging preference do you have?</t>
  </si>
  <si>
    <t>How did you hear about the Amruta Dhaanya initiative?</t>
  </si>
  <si>
    <t>How important is it for you to know the specific farmer who grew your produce?</t>
  </si>
  <si>
    <t>How often do you typically purchase fresh produce for your household?</t>
  </si>
  <si>
    <t>What are your preferences regarding farming practices? (Select all that apply)</t>
  </si>
  <si>
    <t>Would you be interested in volunteering or helping organize community events for Amruta Dhaanya?</t>
  </si>
  <si>
    <t>What is your typical weekly household budget for fresh, local produce?</t>
  </si>
  <si>
    <t>Which time window is most convenient for your produce delivery?</t>
  </si>
  <si>
    <t>How would you rate the importance of these attributes when selecting your fresh produce? [Taste]</t>
  </si>
  <si>
    <t>How would you rate the importance of these attributes when selecting your fresh produce? [Shelf-life]</t>
  </si>
  <si>
    <t>How would you rate the importance of these attributes when selecting your fresh produce? [Nutritional Value]</t>
  </si>
  <si>
    <t>How would you rate the importance of these attributes when selecting your fresh produce? [Appearance]</t>
  </si>
  <si>
    <t>Besides raw produce, which of the following value-added products would you be interested in buying from our community store?</t>
  </si>
  <si>
    <t>How would you prefer to receive updates about new harvest availability?</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</si>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</sst>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d/mm/yyyy hh:mm:ss"/>
    <numFmt numFmtId="166" formatCode="dd/mm/yyyy"/>
    <numFmt numFmtId="167" formatCode="d/m/yy"/>
    <numFmt numFmtId="168" formatCode="d/m/yyyy"/>
  </numFmts>
  <fonts count="11">
    <font>
      <sz val="10.0"/>
      <color rgb="FF000000"/>
      <name val="Calibri"/>
      <scheme val="minor"/>
    </font>
    <font>
      <b/>
      <sz val="11.0"/>
      <color rgb="FFFFFFFF"/>
      <name val="Arial"/>
    </font>
    <font>
      <b/>
      <sz val="12.0"/>
      <color rgb="FFFFFFFF"/>
      <name val="Arial"/>
    </font>
    <font>
      <color theme="1"/>
      <name val="Arial"/>
    </font>
    <font>
      <b/>
      <color theme="1"/>
      <name val="Roboto"/>
    </font>
    <font>
      <color theme="1"/>
      <name val="Calibri"/>
      <scheme val="minor"/>
    </font>
    <font>
      <b/>
      <sz val="11.0"/>
      <color rgb="FF1F4E78"/>
      <name val="Arial"/>
    </font>
    <font>
      <color theme="1"/>
      <name val="Calibri"/>
    </font>
    <font>
      <u/>
      <color rgb="FF0000FF"/>
      <name val="Roboto"/>
    </font>
    <font>
      <u/>
      <color rgb="FF0000FF"/>
      <name val="Roboto"/>
    </font>
    <font>
      <sz val="1.0"/>
      <color theme="1"/>
      <name val="Calibri"/>
      <scheme val="minor"/>
    </font>
  </fonts>
  <fills count="6">
    <fill>
      <patternFill patternType="none"/>
    </fill>
    <fill>
      <patternFill patternType="lightGray"/>
    </fill>
    <fill>
      <patternFill patternType="solid">
        <fgColor rgb="FF2F5233"/>
        <bgColor rgb="FF2F5233"/>
      </patternFill>
    </fill>
    <fill>
      <patternFill patternType="solid">
        <fgColor rgb="FF1F4E78"/>
        <bgColor rgb="FF1F4E78"/>
      </patternFill>
    </fill>
    <fill>
      <patternFill patternType="solid">
        <fgColor rgb="FFFFF2CC"/>
        <bgColor rgb="FFFFF2CC"/>
      </patternFill>
    </fill>
    <fill>
      <patternFill patternType="solid">
        <fgColor rgb="FFD9E1F2"/>
        <bgColor rgb="FFD9E1F2"/>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3" fontId="2" numFmtId="0" xfId="0" applyAlignment="1" applyFill="1" applyFont="1">
      <alignment horizontal="left" readingOrder="0" shrinkToFit="0" wrapText="0"/>
    </xf>
    <xf borderId="1" fillId="0" fontId="3" numFmtId="0" xfId="0" applyAlignment="1" applyBorder="1" applyFont="1">
      <alignment horizontal="left" readingOrder="0" vertical="top"/>
    </xf>
    <xf borderId="0" fillId="0" fontId="4"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1" fillId="0" fontId="3" numFmtId="0" xfId="0" applyAlignment="1" applyBorder="1" applyFont="1">
      <alignment vertical="top"/>
    </xf>
    <xf borderId="0" fillId="0" fontId="5" numFmtId="0" xfId="0" applyAlignment="1" applyFont="1">
      <alignment readingOrder="0" shrinkToFit="0" vertical="center" wrapText="0"/>
    </xf>
    <xf borderId="0" fillId="0" fontId="5" numFmtId="0" xfId="0" applyAlignment="1" applyFont="1">
      <alignment horizontal="left" readingOrder="0" shrinkToFit="0" vertical="center" wrapText="0"/>
    </xf>
    <xf borderId="0" fillId="0" fontId="5" numFmtId="164" xfId="0" applyAlignment="1" applyFont="1" applyNumberFormat="1">
      <alignment readingOrder="0" shrinkToFit="0" vertical="center" wrapText="0"/>
    </xf>
    <xf borderId="0" fillId="0" fontId="5" numFmtId="164" xfId="0" applyAlignment="1" applyFont="1" applyNumberFormat="1">
      <alignment readingOrder="0" shrinkToFit="0" vertical="center" wrapText="0"/>
    </xf>
    <xf borderId="0" fillId="0" fontId="3" numFmtId="0" xfId="0" applyAlignment="1" applyFont="1">
      <alignment vertical="bottom"/>
    </xf>
    <xf borderId="0" fillId="0" fontId="5" numFmtId="165" xfId="0" applyAlignment="1" applyFont="1" applyNumberFormat="1">
      <alignment readingOrder="0"/>
    </xf>
    <xf borderId="0" fillId="0" fontId="5" numFmtId="0" xfId="0" applyAlignment="1" applyFont="1">
      <alignment readingOrder="0"/>
    </xf>
    <xf borderId="0" fillId="0" fontId="5" numFmtId="164" xfId="0" applyAlignment="1" applyFont="1" applyNumberFormat="1">
      <alignment readingOrder="0"/>
    </xf>
    <xf borderId="0" fillId="0" fontId="5" numFmtId="0" xfId="0" applyAlignment="1" applyFont="1">
      <alignment horizontal="right" readingOrder="0"/>
    </xf>
    <xf borderId="1" fillId="4" fontId="3" numFmtId="0" xfId="0" applyAlignment="1" applyBorder="1" applyFill="1" applyFont="1">
      <alignment horizontal="left" readingOrder="0" vertical="top"/>
    </xf>
    <xf borderId="1" fillId="4" fontId="3" numFmtId="0" xfId="0" applyAlignment="1" applyBorder="1" applyFill="1" applyFont="1">
      <alignment vertical="top"/>
    </xf>
    <xf borderId="1" fillId="4" fontId="3" numFmtId="0" xfId="0" applyAlignment="1" applyBorder="1" applyFill="1" applyFont="1">
      <alignment readingOrder="0" vertical="top"/>
    </xf>
    <xf borderId="0" fillId="0" fontId="3" numFmtId="0" xfId="0" applyAlignment="1" applyFont="1">
      <alignment horizontal="left" readingOrder="0" vertical="top"/>
    </xf>
    <xf borderId="0" fillId="0" fontId="3" numFmtId="0" xfId="0" applyAlignment="1" applyFont="1">
      <alignment readingOrder="0" vertical="top"/>
    </xf>
    <xf borderId="0" fillId="0" fontId="3" numFmtId="0" xfId="0" applyAlignment="1" applyFont="1">
      <alignment vertical="top"/>
    </xf>
    <xf borderId="0" fillId="0" fontId="5" numFmtId="49" xfId="0" applyAlignment="1" applyFont="1" applyNumberFormat="1">
      <alignment horizontal="left" readingOrder="0" shrinkToFit="0" vertical="center" wrapText="0"/>
    </xf>
    <xf borderId="0" fillId="0" fontId="5" numFmtId="166" xfId="0" applyAlignment="1" applyFont="1" applyNumberFormat="1">
      <alignment readingOrder="0"/>
    </xf>
    <xf borderId="0" fillId="0" fontId="5" numFmtId="0" xfId="0" applyAlignment="1" applyFont="1">
      <alignment horizontal="right" readingOrder="0" shrinkToFit="0" vertical="center" wrapText="0"/>
    </xf>
    <xf borderId="0" fillId="4" fontId="3" numFmtId="0" xfId="0" applyAlignment="1" applyFill="1" applyFont="1">
      <alignment horizontal="left" readingOrder="0" vertical="top"/>
    </xf>
    <xf borderId="0" fillId="4" fontId="3" numFmtId="0" xfId="0" applyAlignment="1" applyFill="1" applyFont="1">
      <alignment vertical="top"/>
    </xf>
    <xf borderId="0" fillId="0" fontId="5" numFmtId="166" xfId="0" applyAlignment="1" applyFont="1" applyNumberFormat="1">
      <alignment horizontal="right" readingOrder="0"/>
    </xf>
    <xf borderId="0" fillId="0" fontId="5" numFmtId="165" xfId="0" applyAlignment="1" applyFont="1" applyNumberFormat="1">
      <alignment horizontal="right" readingOrder="0"/>
    </xf>
    <xf borderId="0" fillId="0" fontId="5" numFmtId="0" xfId="0" applyAlignment="1" applyFont="1">
      <alignment horizontal="left" readingOrder="0"/>
    </xf>
    <xf borderId="0" fillId="5" fontId="6" numFmtId="0" xfId="0" applyAlignment="1" applyFill="1" applyFont="1">
      <alignment horizontal="left" readingOrder="0" shrinkToFit="0" wrapText="0"/>
    </xf>
    <xf borderId="0" fillId="0" fontId="5" numFmtId="0" xfId="0" applyAlignment="1" applyFont="1">
      <alignment horizontal="right"/>
    </xf>
    <xf borderId="1" fillId="0" fontId="3" numFmtId="0" xfId="0" applyAlignment="1" applyBorder="1" applyFont="1">
      <alignment readingOrder="0" vertical="top"/>
    </xf>
    <xf borderId="1" fillId="0" fontId="3" numFmtId="0" xfId="0" applyAlignment="1" applyBorder="1" applyFont="1">
      <alignment vertical="top"/>
    </xf>
    <xf borderId="1" fillId="0" fontId="7" numFmtId="0" xfId="0" applyAlignment="1" applyBorder="1" applyFont="1">
      <alignment vertical="top"/>
    </xf>
    <xf borderId="0" fillId="0" fontId="7" numFmtId="0" xfId="0" applyAlignment="1" applyFont="1">
      <alignment vertical="bottom"/>
    </xf>
    <xf borderId="0" fillId="0" fontId="5" numFmtId="166" xfId="0" applyAlignment="1" applyFont="1" applyNumberFormat="1">
      <alignment readingOrder="0" shrinkToFit="0" vertical="center" wrapText="0"/>
    </xf>
    <xf borderId="0" fillId="3" fontId="2" numFmtId="0" xfId="0" applyAlignment="1" applyFill="1" applyFont="1">
      <alignment readingOrder="0" vertical="bottom"/>
    </xf>
    <xf borderId="0" fillId="4" fontId="3" numFmtId="0" xfId="0" applyAlignment="1" applyFill="1" applyFont="1">
      <alignment readingOrder="0" vertical="top"/>
    </xf>
    <xf borderId="0" fillId="0" fontId="5" numFmtId="0" xfId="0" applyFont="1"/>
    <xf borderId="0" fillId="0" fontId="5" numFmtId="165"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right" shrinkToFit="0" vertical="center" wrapText="0"/>
    </xf>
    <xf borderId="0" fillId="0" fontId="5" numFmtId="0" xfId="0" applyAlignment="1" applyFont="1">
      <alignment horizontal="left"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5" numFmtId="0" xfId="0" applyAlignment="1" applyFont="1">
      <alignment readingOrder="0"/>
    </xf>
    <xf borderId="0" fillId="0" fontId="5" numFmtId="0" xfId="0" applyAlignment="1" applyFont="1">
      <alignment readingOrder="0"/>
    </xf>
    <xf borderId="0" fillId="0" fontId="5" numFmtId="14" xfId="0" applyAlignment="1" applyFont="1" applyNumberFormat="1">
      <alignment readingOrder="0" shrinkToFit="0" vertical="center" wrapText="0"/>
    </xf>
    <xf borderId="0" fillId="0" fontId="5" numFmtId="164"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xf borderId="0" fillId="0" fontId="5" numFmtId="167" xfId="0" applyAlignment="1" applyFont="1" applyNumberFormat="1">
      <alignment horizontal="left" readingOrder="0" shrinkToFit="0" vertical="center" wrapText="0"/>
    </xf>
    <xf borderId="0" fillId="0" fontId="5" numFmtId="166" xfId="0" applyAlignment="1" applyFont="1" applyNumberFormat="1">
      <alignment horizontal="left" readingOrder="0" shrinkToFit="0" vertical="center" wrapText="0"/>
    </xf>
    <xf borderId="0" fillId="0" fontId="5" numFmtId="0" xfId="0" applyAlignment="1" applyFont="1">
      <alignment horizontal="right" readingOrder="0" shrinkToFit="0" vertical="center" wrapText="0"/>
    </xf>
    <xf borderId="0" fillId="0" fontId="5" numFmtId="166" xfId="0" applyAlignment="1" applyFont="1" applyNumberFormat="1">
      <alignment horizontal="right" readingOrder="0" shrinkToFit="0" vertical="center" wrapText="0"/>
    </xf>
    <xf borderId="0" fillId="0" fontId="5" numFmtId="164" xfId="0" applyAlignment="1" applyFont="1" applyNumberFormat="1">
      <alignment readingOrder="0" shrinkToFit="0" vertical="center" wrapText="0"/>
    </xf>
    <xf quotePrefix="1" borderId="0" fillId="0" fontId="5" numFmtId="0" xfId="0" applyAlignment="1" applyFont="1">
      <alignment readingOrder="0" shrinkToFit="0" vertical="center" wrapText="0"/>
    </xf>
    <xf borderId="0" fillId="0" fontId="9" numFmtId="0" xfId="0" applyAlignment="1" applyFont="1">
      <alignment shrinkToFit="0" vertical="center" wrapText="0"/>
    </xf>
    <xf borderId="0" fillId="0" fontId="5" numFmtId="168" xfId="0" applyAlignment="1" applyFont="1" applyNumberFormat="1">
      <alignment readingOrder="0" shrinkToFit="0" vertical="center" wrapText="0"/>
    </xf>
    <xf quotePrefix="1" borderId="0" fillId="0" fontId="5" numFmtId="0" xfId="0" applyAlignment="1" applyFont="1">
      <alignment readingOrder="0" shrinkToFit="0" vertical="center" wrapText="0"/>
    </xf>
    <xf borderId="0" fillId="0" fontId="10" numFmtId="0" xfId="0" applyAlignment="1" applyFont="1">
      <alignment shrinkToFit="0" vertical="center" wrapText="0"/>
    </xf>
    <xf borderId="0" fillId="0" fontId="5" numFmtId="0" xfId="0" applyAlignment="1" applyFont="1">
      <alignment horizontal="right" readingOrder="0" shrinkToFit="0" vertical="center" wrapText="0"/>
    </xf>
  </cellXfs>
  <cellStyles count="1">
    <cellStyle xfId="0" name="Normal" builtinId="0"/>
  </cellStyles>
  <dxfs count="8">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B3F86"/>
          <bgColor rgb="FF5B3F86"/>
        </patternFill>
      </fill>
      <border/>
    </dxf>
    <dxf>
      <font/>
      <fill>
        <patternFill patternType="solid">
          <fgColor rgb="FF356854"/>
          <bgColor rgb="FF356854"/>
        </patternFill>
      </fill>
      <border/>
    </dxf>
    <dxf>
      <border>
        <left style="thin">
          <color rgb="FF49564C"/>
        </left>
        <right style="thin">
          <color rgb="FF49564C"/>
        </right>
        <top style="thin">
          <color rgb="FF49564C"/>
        </top>
        <bottom style="thin">
          <color rgb="FF49564C"/>
        </bottom>
      </border>
    </dxf>
    <dxf>
      <font/>
      <fill>
        <patternFill patternType="solid">
          <fgColor rgb="FFF6F8F9"/>
          <bgColor rgb="FFF6F8F9"/>
        </patternFill>
      </fill>
      <border/>
    </dxf>
  </dxfs>
  <tableStyles count="26">
    <tableStyle count="4" pivot="0" name="Grower Applications-style">
      <tableStyleElement dxfId="4" type="headerRow"/>
      <tableStyleElement dxfId="2" type="firstRowStripe"/>
      <tableStyleElement dxfId="3" type="secondRowStripe"/>
      <tableStyleElement dxfId="6" size="0" type="wholeTable"/>
    </tableStyle>
    <tableStyle count="4" pivot="0" name="Grower Application Clean-style">
      <tableStyleElement dxfId="1" type="headerRow"/>
      <tableStyleElement dxfId="2" type="firstRowStripe"/>
      <tableStyleElement dxfId="3" type="secondRowStripe"/>
      <tableStyleElement dxfId="6" size="0" type="wholeTable"/>
    </tableStyle>
    <tableStyle count="4" pivot="0" name="Growers-style">
      <tableStyleElement dxfId="5" type="headerRow"/>
      <tableStyleElement dxfId="2" type="firstRowStripe"/>
      <tableStyleElement dxfId="7" type="secondRowStripe"/>
      <tableStyleElement dxfId="6" size="0" type="wholeTable"/>
    </tableStyle>
    <tableStyle count="4" pivot="0" name="Grower_Approved_Items-style">
      <tableStyleElement dxfId="5" type="headerRow"/>
      <tableStyleElement dxfId="2" type="firstRowStripe"/>
      <tableStyleElement dxfId="7" type="secondRowStripe"/>
      <tableStyleElement dxfId="6" size="0" type="wholeTable"/>
    </tableStyle>
    <tableStyle count="4" pivot="0" name="Daily Availability-style">
      <tableStyleElement dxfId="5" type="headerRow"/>
      <tableStyleElement dxfId="2" type="firstRowStripe"/>
      <tableStyleElement dxfId="7" type="secondRowStripe"/>
      <tableStyleElement dxfId="6" size="0" type="wholeTable"/>
    </tableStyle>
    <tableStyle count="4" pivot="0" name="Grower_Purchases-style">
      <tableStyleElement dxfId="5" type="headerRow"/>
      <tableStyleElement dxfId="2" type="firstRowStripe"/>
      <tableStyleElement dxfId="7" type="secondRowStripe"/>
      <tableStyleElement dxfId="6" size="0" type="wholeTable"/>
    </tableStyle>
    <tableStyle count="4" pivot="0" name="Basket_Inventory-style">
      <tableStyleElement dxfId="5" type="headerRow"/>
      <tableStyleElement dxfId="2" type="firstRowStripe"/>
      <tableStyleElement dxfId="7" type="secondRowStripe"/>
      <tableStyleElement dxfId="6" size="0" type="wholeTable"/>
    </tableStyle>
    <tableStyle count="4" pivot="0" name="Curated_Basket_Plan-style">
      <tableStyleElement dxfId="5" type="headerRow"/>
      <tableStyleElement dxfId="2" type="firstRowStripe"/>
      <tableStyleElement dxfId="7" type="secondRowStripe"/>
      <tableStyleElement dxfId="6" size="0" type="wholeTable"/>
    </tableStyle>
    <tableStyle count="4" pivot="0" name="Customer Orders-style">
      <tableStyleElement dxfId="5" type="headerRow"/>
      <tableStyleElement dxfId="2" type="firstRowStripe"/>
      <tableStyleElement dxfId="7" type="secondRowStripe"/>
      <tableStyleElement dxfId="6" size="0" type="wholeTable"/>
    </tableStyle>
    <tableStyle count="4" pivot="0" name="Customer Order Items-style">
      <tableStyleElement dxfId="5" type="headerRow"/>
      <tableStyleElement dxfId="2" type="firstRowStripe"/>
      <tableStyleElement dxfId="7" type="secondRowStripe"/>
      <tableStyleElement dxfId="6" size="0" type="wholeTable"/>
    </tableStyle>
    <tableStyle count="4" pivot="0" name="Customer_Request_Items-style">
      <tableStyleElement dxfId="5" type="headerRow"/>
      <tableStyleElement dxfId="2" type="firstRowStripe"/>
      <tableStyleElement dxfId="7" type="secondRowStripe"/>
      <tableStyleElement dxfId="6" size="0" type="wholeTable"/>
    </tableStyle>
    <tableStyle count="4" pivot="0" name="Payments-style">
      <tableStyleElement dxfId="5" type="headerRow"/>
      <tableStyleElement dxfId="2" type="firstRowStripe"/>
      <tableStyleElement dxfId="7" type="secondRowStripe"/>
      <tableStyleElement dxfId="6" size="0" type="wholeTable"/>
    </tableStyle>
    <tableStyle count="4" pivot="0" name="Customer_PIN_Reset-style">
      <tableStyleElement dxfId="5" type="headerRow"/>
      <tableStyleElement dxfId="2" type="firstRowStripe"/>
      <tableStyleElement dxfId="7" type="secondRowStripe"/>
      <tableStyleElement dxfId="6" size="0" type="wholeTable"/>
    </tableStyle>
    <tableStyle count="4" pivot="0" name="customer_Requests-style">
      <tableStyleElement dxfId="5" type="headerRow"/>
      <tableStyleElement dxfId="2" type="firstRowStripe"/>
      <tableStyleElement dxfId="7" type="secondRowStripe"/>
      <tableStyleElement dxfId="6" size="0" type="wholeTable"/>
    </tableStyle>
    <tableStyle count="4" pivot="0" name="Basket_Subscriptions-style">
      <tableStyleElement dxfId="5" type="headerRow"/>
      <tableStyleElement dxfId="2" type="firstRowStripe"/>
      <tableStyleElement dxfId="7" type="secondRowStripe"/>
      <tableStyleElement dxfId="6" size="0" type="wholeTable"/>
    </tableStyle>
    <tableStyle count="4" pivot="0" name="Subscription_Orders-style">
      <tableStyleElement dxfId="5" type="headerRow"/>
      <tableStyleElement dxfId="2" type="firstRowStripe"/>
      <tableStyleElement dxfId="7" type="secondRowStripe"/>
      <tableStyleElement dxfId="6" size="0" type="wholeTable"/>
    </tableStyle>
    <tableStyle count="4" pivot="0" name="Pending_WhatsApp_Messages-style">
      <tableStyleElement dxfId="5" type="headerRow"/>
      <tableStyleElement dxfId="2" type="firstRowStripe"/>
      <tableStyleElement dxfId="7" type="secondRowStripe"/>
      <tableStyleElement dxfId="6" size="0" type="wholeTable"/>
    </tableStyle>
    <tableStyle count="4" pivot="0" name="OTP_Verification-style">
      <tableStyleElement dxfId="5" type="headerRow"/>
      <tableStyleElement dxfId="2" type="firstRowStripe"/>
      <tableStyleElement dxfId="7" type="secondRowStripe"/>
      <tableStyleElement dxfId="6" size="0" type="wholeTable"/>
    </tableStyle>
    <tableStyle count="4" pivot="0" name="Customer_OTP-style">
      <tableStyleElement dxfId="5" type="headerRow"/>
      <tableStyleElement dxfId="2" type="firstRowStripe"/>
      <tableStyleElement dxfId="7" type="secondRowStripe"/>
      <tableStyleElement dxfId="6" size="0" type="wholeTable"/>
    </tableStyle>
    <tableStyle count="4" pivot="0" name="Customer_Accounts-style">
      <tableStyleElement dxfId="5" type="headerRow"/>
      <tableStyleElement dxfId="2" type="firstRowStripe"/>
      <tableStyleElement dxfId="7" type="secondRowStripe"/>
      <tableStyleElement dxfId="6" size="0" type="wholeTable"/>
    </tableStyle>
    <tableStyle count="4" pivot="0" name="Verified_Devices-style">
      <tableStyleElement dxfId="5" type="headerRow"/>
      <tableStyleElement dxfId="2" type="firstRowStripe"/>
      <tableStyleElement dxfId="7" type="secondRowStripe"/>
      <tableStyleElement dxfId="6" size="0" type="wholeTable"/>
    </tableStyle>
    <tableStyle count="4" pivot="0" name="Customer_Login_Audit-style">
      <tableStyleElement dxfId="5" type="headerRow"/>
      <tableStyleElement dxfId="2" type="firstRowStripe"/>
      <tableStyleElement dxfId="7" type="secondRowStripe"/>
      <tableStyleElement dxfId="6" size="0" type="wholeTable"/>
    </tableStyle>
    <tableStyle count="4" pivot="0" name="Delivery_Persons-style">
      <tableStyleElement dxfId="5" type="headerRow"/>
      <tableStyleElement dxfId="2" type="firstRowStripe"/>
      <tableStyleElement dxfId="7" type="secondRowStripe"/>
      <tableStyleElement dxfId="6" size="0" type="wholeTable"/>
    </tableStyle>
    <tableStyle count="4" pivot="0" name="Pickup &amp; Drop-off -style">
      <tableStyleElement dxfId="5" type="headerRow"/>
      <tableStyleElement dxfId="2" type="firstRowStripe"/>
      <tableStyleElement dxfId="7" type="secondRowStripe"/>
      <tableStyleElement dxfId="6" size="0" type="wholeTable"/>
    </tableStyle>
    <tableStyle count="4" pivot="0" name="Grower_Verification-style">
      <tableStyleElement dxfId="5" type="headerRow"/>
      <tableStyleElement dxfId="2" type="firstRowStripe"/>
      <tableStyleElement dxfId="7" type="secondRowStripe"/>
      <tableStyleElement dxfId="6" size="0" type="wholeTable"/>
    </tableStyle>
    <tableStyle count="4" pivot="0" name="Survey-style">
      <tableStyleElement dxfId="4" type="headerRow"/>
      <tableStyleElement dxfId="2" type="firstRowStripe"/>
      <tableStyleElement dxfId="3"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9" displayName="Growers_Registration" name="Growers_Registration" id="2">
  <tableColumns count="30">
    <tableColumn name="Timestamp" id="1"/>
    <tableColumn name="Full Name" id="2"/>
    <tableColumn name="WhatsApp Number" id="3"/>
    <tableColumn name="Email" id="4"/>
    <tableColumn name="Village/Area/Locality" id="5"/>
    <tableColumn name="What do you grow or supply?" id="6"/>
    <tableColumn name="Please list the specific items you can provide" id="7"/>
    <tableColumn name="Is this produce mainly grown/supplied by you or your household?" id="8"/>
    <tableColumn name="Do you usually have surplus after your own use?" id="9"/>
    <tableColumn name="Typical Weekly Harvest Capacity" id="10"/>
    <tableColumn name="Typical  Quantity Per  Pickup " id="11"/>
    <tableColumn name="Can you inform availability 2 days before pickup?" id="12"/>
    <tableColumn name="Preferred pickup method" id="13"/>
    <tableColumn name="Preferred pickup time" id="14"/>
    <tableColumn name="Do you agree that Amruta Dhaanya will collect only the quantity that can realistically be sold?" id="15"/>
    <tableColumn name="Do you agree that unsold items may be returned, discounted with your permission, or handled as discussed?" id="16"/>
    <tableColumn name="Do you agree to receive payment based on accepted quantity and agreed daily price?" id="17"/>
    <tableColumn name="Do you agree that Amruta Dhaanya can assign you a private seller service code?" id="18"/>
    <tableColumn name="Best time to contact" id="19"/>
    <tableColumn name="Do you understand that your name, phone number, and address will not be shared publicly with customers, and customers may only see your seller code? " id="20"/>
    <tableColumn name="Any extral details or question?" id="21"/>
    <tableColumn name="I agree that Amruta Dhaanya may contact me by phone or WhatsApp for grower/seller registration, basic verification, availability planning, pickup coordination, payment communication, and service updates." id="22"/>
    <tableColumn name="  I understand that I must provide truthful information about my produce, source, quantity, growing method, and item condition.  " id="23"/>
    <tableColumn name=" I understand that my personal details will not be shared publicly with customers, and Amruta Dhaanya may identify me publicly only through a private seller service code after approval.  " id="24"/>
    <tableColumn name="How did you hear about Amruta Dhaanya?" id="25"/>
    <tableColumn name="Would you like our team to explain the process before registration approval?" id="26"/>
    <tableColumn name="Review Status" id="27"/>
    <tableColumn name="Assigned Seller Code" id="28"/>
    <tableColumn name="Admin Notes" id="29"/>
    <tableColumn name="Copied to clean?" id="30"/>
  </tableColumns>
  <tableStyleInfo name="Grower Applications-style" showColumnStripes="0" showFirstColumn="1" showLastColumn="1" showRowStripes="1"/>
</table>
</file>

<file path=xl/tables/table2.xml><?xml version="1.0" encoding="utf-8"?>
<table xmlns="http://schemas.openxmlformats.org/spreadsheetml/2006/main" headerRowCount="0" ref="A1:AD1" displayName="Grower_Application_Clean" name="Grower_Application_Clean" id="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Grower Application Clea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K2" displayName="Growers" name="Growers" id="3">
  <tableColumns count="11">
    <tableColumn name="Grower ID" id="1"/>
    <tableColumn name="Full Name" id="2"/>
    <tableColumn name="WhatsApp Number" id="3"/>
    <tableColumn name="Village / Area" id="4"/>
    <tableColumn name="Produce Type" id="5"/>
    <tableColumn name="Specific Items" id="6"/>
    <tableColumn name="Pickup Preference" id="7"/>
    <tableColumn name="Status" id="8"/>
    <tableColumn name="Notes" id="9"/>
    <tableColumn name="Date Registered" id="10"/>
    <tableColumn name="Preffered Pickup  Time" id="11"/>
  </tableColumns>
  <tableStyleInfo name="Growers-style" showColumnStripes="0" showFirstColumn="1" showLastColumn="1" showRowStripes="1"/>
</table>
</file>

<file path=xl/tables/table4.xml><?xml version="1.0" encoding="utf-8"?>
<table xmlns="http://schemas.openxmlformats.org/spreadsheetml/2006/main" headerRowCount="0" ref="A1:K1" displayName="Grower_Approved_Items" name="Grower_Approved_Items" id="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Grower_Approved_Item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V1" displayName="Daily_Availability" name="Daily_Availability" id="5">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ily Availability-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R1" displayName="Grower_Purchases" name="Grower_Purchases" id="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Grower_Purchases-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T976" displayName="Basket_Inventory" name="Basket_Inventory" id="7">
  <tableColumns count="20">
    <tableColumn name="Inventory_ID" id="1"/>
    <tableColumn name="Purchase_ID" id="2"/>
    <tableColumn name="Item_Name" id="3"/>
    <tableColumn name="Category" id="4"/>
    <tableColumn name="Total_Qty" id="5"/>
    <tableColumn name="Unit" id="6"/>
    <tableColumn name="Customer  Selling Price" id="7"/>
    <tableColumn name="Individual_Reserved_Qty" id="8"/>
    <tableColumn name="Basket_Reserved_Qty" id="9"/>
    <tableColumn name="Remaining_Qty" id="10"/>
    <tableColumn name="Stock_Status" id="11"/>
    <tableColumn name="Added_Date" id="12"/>
    <tableColumn name="Stock_Channel" id="13"/>
    <tableColumn name="AI_Description" id="14"/>
    <tableColumn name="Health_Benefits" id="15"/>
    <tableColumn name="Health_Tags" id="16"/>
    <tableColumn name="Wellness_Goals" id="17"/>
    <tableColumn name="Organic" id="18"/>
    <tableColumn name="Pack_Size" id="19"/>
    <tableColumn name="Pack_Price" id="20"/>
  </tableColumns>
  <tableStyleInfo name="Basket_Inventory-style" showColumnStripes="0" showFirstColumn="1" showLastColumn="1" showRowStripes="1"/>
</table>
</file>

<file path=xl/tables/table8.xml><?xml version="1.0" encoding="utf-8"?>
<table xmlns="http://schemas.openxmlformats.org/spreadsheetml/2006/main" ref="A1:DK987" displayName="Curated_Basket_Plan" name="Curated_Basket_Plan" id="8">
  <tableColumns count="115">
    <tableColumn name="Plan_ID" id="1"/>
    <tableColumn name="Plan_Date" id="2"/>
    <tableColumn name="Basket_ID" id="3"/>
    <tableColumn name="Basket_Name" id="4"/>
    <tableColumn name="Basket_Purpose" id="5"/>
    <tableColumn name="Item_1_Inventory_ID" id="6"/>
    <tableColumn name="Item_1_Name" id="7"/>
    <tableColumn name="Item_1_Category" id="8"/>
    <tableColumn name="Item_1_Qty" id="9"/>
    <tableColumn name="Item_1_Unit" id="10"/>
    <tableColumn name="Item_2_Inventory_ID" id="11"/>
    <tableColumn name="Item_2_Name" id="12"/>
    <tableColumn name="Item_2_Category" id="13"/>
    <tableColumn name="Item_2_Qty" id="14"/>
    <tableColumn name="Item_2_Unit" id="15"/>
    <tableColumn name="Item_3_Inventory_ID" id="16"/>
    <tableColumn name="Item_3_Name" id="17"/>
    <tableColumn name="Item_3_Category" id="18"/>
    <tableColumn name="Item_3_Qty" id="19"/>
    <tableColumn name="Item_3_Unit" id="20"/>
    <tableColumn name="Item_4_Inventory_ID" id="21"/>
    <tableColumn name="Item_4_Name" id="22"/>
    <tableColumn name="Item_4_Category" id="23"/>
    <tableColumn name="Item_4_Qty" id="24"/>
    <tableColumn name="Item_4_Unit" id="25"/>
    <tableColumn name="Item_5_Inventory_ID" id="26"/>
    <tableColumn name="Item_5_Name" id="27"/>
    <tableColumn name="Item_5_Category" id="28"/>
    <tableColumn name="Item_5_Qty" id="29"/>
    <tableColumn name="Item_5_Unit" id="30"/>
    <tableColumn name="Item_6_Inventory_ID" id="31"/>
    <tableColumn name="Item_6_Name" id="32"/>
    <tableColumn name="Item_6_Category" id="33"/>
    <tableColumn name="Item_6_Qty" id="34"/>
    <tableColumn name="Item_6_Unit" id="35"/>
    <tableColumn name="Item_7_Inventory_ID" id="36"/>
    <tableColumn name="Item_7_Name" id="37"/>
    <tableColumn name="Item_7_Category" id="38"/>
    <tableColumn name="Item_7_Qty" id="39"/>
    <tableColumn name="Item_7_Unit" id="40"/>
    <tableColumn name="Item_8_Inventory_ID" id="41"/>
    <tableColumn name="Item_8_Name" id="42"/>
    <tableColumn name="Item_8_Category" id="43"/>
    <tableColumn name="Item_8_Qty" id="44"/>
    <tableColumn name="Item_8_Unit" id="45"/>
    <tableColumn name="Item_9_Inventory_ID" id="46"/>
    <tableColumn name="Item_9_Name" id="47"/>
    <tableColumn name="Item_9_Category" id="48"/>
    <tableColumn name="Item_9_Qty" id="49"/>
    <tableColumn name="Item_9_Unit" id="50"/>
    <tableColumn name="Item_10_Inventory_ID" id="51"/>
    <tableColumn name="Item_10_Name" id="52"/>
    <tableColumn name="Item_10_Category" id="53"/>
    <tableColumn name="Item_10_Qty" id="54"/>
    <tableColumn name="Item_10_Unit" id="55"/>
    <tableColumn name="Item_11_Inventory_ID" id="56"/>
    <tableColumn name="Item_11_Name" id="57"/>
    <tableColumn name="Item_11_Category" id="58"/>
    <tableColumn name="Item_11_Qty" id="59"/>
    <tableColumn name="Item_11_Unit" id="60"/>
    <tableColumn name="Item_12_Inventory_ID" id="61"/>
    <tableColumn name="Item_12_Name" id="62"/>
    <tableColumn name="Item_12_Category" id="63"/>
    <tableColumn name="Item_12_Qty" id="64"/>
    <tableColumn name="Item_12_Unit" id="65"/>
    <tableColumn name="Item_13_Inventory_ID" id="66"/>
    <tableColumn name="Item_13_Name" id="67"/>
    <tableColumn name="Item_13_Category" id="68"/>
    <tableColumn name="Item_13_Qty" id="69"/>
    <tableColumn name="Item_13_Unit" id="70"/>
    <tableColumn name="Item_14_Inventory_ID" id="71"/>
    <tableColumn name="Item_14_Name" id="72"/>
    <tableColumn name="Item_14_Category" id="73"/>
    <tableColumn name="Item_14_Qty" id="74"/>
    <tableColumn name="Item_14_Unit" id="75"/>
    <tableColumn name="Item_15_Inventory_ID" id="76"/>
    <tableColumn name="Item_15_Name" id="77"/>
    <tableColumn name="Item_15_Category" id="78"/>
    <tableColumn name="Item_15_Qty" id="79"/>
    <tableColumn name="Item_15_Unit" id="80"/>
    <tableColumn name="Item_16_Inventory_ID" id="81"/>
    <tableColumn name="Item_16_Name" id="82"/>
    <tableColumn name="Item_16_Category" id="83"/>
    <tableColumn name="Item_16_Qty" id="84"/>
    <tableColumn name="Item_16_Unit" id="85"/>
    <tableColumn name="Item_17_Inventory_ID" id="86"/>
    <tableColumn name="Item_17_Name" id="87"/>
    <tableColumn name="Item_17_Category" id="88"/>
    <tableColumn name="Item_17_Qty" id="89"/>
    <tableColumn name="Item_17_Unit" id="90"/>
    <tableColumn name="Item_18_Inventory_ID" id="91"/>
    <tableColumn name="Item_18_Name" id="92"/>
    <tableColumn name="Item_18_Category" id="93"/>
    <tableColumn name="Item_18_Qty" id="94"/>
    <tableColumn name="Item_18_Unit" id="95"/>
    <tableColumn name="Item_19_Inventory_ID" id="96"/>
    <tableColumn name="Item_19_Name" id="97"/>
    <tableColumn name="Item_19_Category" id="98"/>
    <tableColumn name="Item_19_Qty" id="99"/>
    <tableColumn name="Item_19_Unit" id="100"/>
    <tableColumn name="Item_20_Inventory_ID" id="101"/>
    <tableColumn name="Item_20_Name" id="102"/>
    <tableColumn name="Item_20_Category" id="103"/>
    <tableColumn name="Item_20_Qty" id="104"/>
    <tableColumn name="Item_20_Unit" id="105"/>
    <tableColumn name="Item_21_Inventory_ID" id="106"/>
    <tableColumn name="Item_21_Name" id="107"/>
    <tableColumn name="Item_21_Category" id="108"/>
    <tableColumn name="Item_21_Qty" id="109"/>
    <tableColumn name="Item_21_Unit" id="110"/>
    <tableColumn name="Basket_Price" id="111"/>
    <tableColumn name="Basket_Status" id="112"/>
    <tableColumn name="Display_Order" id="113"/>
    <tableColumn name="Basket_Story" id="114"/>
    <tableColumn name="Basket_Image_File_ID" id="115"/>
  </tableColumns>
  <tableStyleInfo name="Curated_Basket_Plan-style" showColumnStripes="0" showFirstColumn="1" showLastColumn="1" showRowStripes="1"/>
</table>
</file>

<file path=xl/tables/table9.xml><?xml version="1.0" encoding="utf-8"?>
<table xmlns="http://schemas.openxmlformats.org/spreadsheetml/2006/main" ref="A1:V971" displayName="Customer_Orders" name="Customer_Orders" id="9">
  <tableColumns count="22">
    <tableColumn name="Order_ID" id="1"/>
    <tableColumn name="Order_Date" id="2"/>
    <tableColumn name="Request_ID" id="3"/>
    <tableColumn name="Preferred_Delivery_Date" id="4"/>
    <tableColumn name="Customer_Name" id="5"/>
    <tableColumn name="Mobile_Number" id="6"/>
    <tableColumn name="Area" id="7"/>
    <tableColumn name="Address" id="8"/>
    <tableColumn name="Order_Type" id="9"/>
    <tableColumn name="Basket_Name" id="10"/>
    <tableColumn name="Order_Status" id="11"/>
    <tableColumn name="Payment_Status" id="12"/>
    <tableColumn name="Delivery_Status" id="13"/>
    <tableColumn name="Delivery_Charge" id="14"/>
    <tableColumn name="Final_amount" id="15"/>
    <tableColumn name="Total Amount" id="16"/>
    <tableColumn name="Linked_Order_ID" id="17"/>
    <tableColumn name="Notes" id="18"/>
    <tableColumn name="Map_Link" id="19"/>
    <tableColumn name="Route_Link" id="20"/>
    <tableColumn name="Distance_KM" id="21"/>
    <tableColumn name="Delivery_Person" id="22"/>
  </tableColumns>
  <tableStyleInfo name="Customer Orders-style" showColumnStripes="0" showFirstColumn="1" showLastColumn="1" showRowStripes="1"/>
</table>
</file>

<file path=xl/tables/table10.xml><?xml version="1.0" encoding="utf-8"?>
<table xmlns="http://schemas.openxmlformats.org/spreadsheetml/2006/main" ref="A1:N903" displayName="Customer_Order_Items" name="Customer_Order_Items" id="10">
  <tableColumns count="14">
    <tableColumn name="Order_Item_ID" id="1"/>
    <tableColumn name="Order_ID" id="2"/>
    <tableColumn name="Request_Item_ID" id="3"/>
    <tableColumn name="Inventory_ID" id="4"/>
    <tableColumn name="Delivery_Task_ID" id="5"/>
    <tableColumn name="Item_Name" id="6"/>
    <tableColumn name="Category" id="7"/>
    <tableColumn name="Quantity" id="8"/>
    <tableColumn name="Unit" id="9"/>
    <tableColumn name="Price" id="10"/>
    <tableColumn name="Total_Amount" id="11"/>
    <tableColumn name="Item_Status" id="12"/>
    <tableColumn name="Notes" id="13"/>
    <tableColumn name="Column 14" id="14"/>
  </tableColumns>
  <tableStyleInfo name="Customer Order Items-style" showColumnStripes="0" showFirstColumn="1" showLastColumn="1" showRowStripes="1"/>
</table>
</file>

<file path=xl/tables/table11.xml><?xml version="1.0" encoding="utf-8"?>
<table xmlns="http://schemas.openxmlformats.org/spreadsheetml/2006/main" ref="A1:M6" displayName="Customer_Request_Items" name="Customer_Request_Items" id="11">
  <tableColumns count="13">
    <tableColumn name="Request_Item_ID" id="1"/>
    <tableColumn name="Request_ID" id="2"/>
    <tableColumn name="Inventory_ID" id="3"/>
    <tableColumn name="Item_Name" id="4"/>
    <tableColumn name="Category" id="5"/>
    <tableColumn name="Requested_Quantity" id="6"/>
    <tableColumn name="Unit" id="7"/>
    <tableColumn name="Available Quantity" id="8"/>
    <tableColumn name="Customer_Selling_Price" id="9"/>
    <tableColumn name="Line_Total" id="10"/>
    <tableColumn name="Item_Status" id="11"/>
    <tableColumn name="Linked_Order_ID" id="12"/>
    <tableColumn name="Notes" id="13"/>
  </tableColumns>
  <tableStyleInfo name="Customer_Request_Items-style" showColumnStripes="0" showFirstColumn="1" showLastColumn="1" showRowStripes="1"/>
</table>
</file>

<file path=xl/tables/table12.xml><?xml version="1.0" encoding="utf-8"?>
<table xmlns="http://schemas.openxmlformats.org/spreadsheetml/2006/main" headerRowCount="0" ref="A1:L1" displayName="Payments" name="Payments" id="1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ayments-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A1:J1000" displayName="Table6" name="Table6" id="13">
  <tableColumns count="10">
    <tableColumn name="Reset_ID" id="1"/>
    <tableColumn name="Mobile_Number" id="2"/>
    <tableColumn name="OTP_Hash" id="3"/>
    <tableColumn name="OTP_Salt" id="4"/>
    <tableColumn name="Created_At" id="5"/>
    <tableColumn name="Expires_At" id="6"/>
    <tableColumn name="Attempt_Count" id="7"/>
    <tableColumn name="Status" id="8"/>
    <tableColumn name="Verified_At" id="9"/>
    <tableColumn name="Used_At" id="10"/>
  </tableColumns>
  <tableStyleInfo name="Customer_PIN_Reset-style" showColumnStripes="0" showFirstColumn="1" showLastColumn="1" showRowStripes="1"/>
</table>
</file>

<file path=xl/tables/table14.xml><?xml version="1.0" encoding="utf-8"?>
<table xmlns="http://schemas.openxmlformats.org/spreadsheetml/2006/main" ref="A1:V903" displayName="customer_Requests" name="customer_Requests" id="14">
  <tableColumns count="22">
    <tableColumn name="Request_ID" id="1"/>
    <tableColumn name="Generated_Order_ID" id="2"/>
    <tableColumn name="Request_Date" id="3"/>
    <tableColumn name="Customer_Name" id="4"/>
    <tableColumn name="Mobile_Number" id="5"/>
    <tableColumn name="Area" id="6"/>
    <tableColumn name="Address" id="7"/>
    <tableColumn name="Order_Source" id="8"/>
    <tableColumn name="Full_WhatsApp_Message" id="9"/>
    <tableColumn name="Requested_Type" id="10"/>
    <tableColumn name="Basket_Type_ID" id="11"/>
    <tableColumn name="Preferred_Delivery_Date" id="12"/>
    <tableColumn name="Request_Status" id="13"/>
    <tableColumn name="Payment_Status" id="14"/>
    <tableColumn name="Delivery_Status" id="15"/>
    <tableColumn name="Linked_Order_ID" id="16"/>
    <tableColumn name="Line_Total" id="17"/>
    <tableColumn name="Delivery_Charge" id="18"/>
    <tableColumn name="Distance_KM" id="19"/>
    <tableColumn name="Distance_Charge" id="20"/>
    <tableColumn name="Quoted_Total_x000a_" id="21"/>
    <tableColumn name="Notes" id="22"/>
  </tableColumns>
  <tableStyleInfo name="customer_Requests-style" showColumnStripes="0" showFirstColumn="1" showLastColumn="1" showRowStripes="1"/>
</table>
</file>

<file path=xl/tables/table15.xml><?xml version="1.0" encoding="utf-8"?>
<table xmlns="http://schemas.openxmlformats.org/spreadsheetml/2006/main" ref="A1:R996" displayName="Basket_Subscriptions" name="Basket_Subscriptions" id="15">
  <tableColumns count="18">
    <tableColumn name="Subscription_ID" id="1"/>
    <tableColumn name="Customer_ID" id="2"/>
    <tableColumn name="Customer_Name" id="3"/>
    <tableColumn name="Phone" id="4"/>
    <tableColumn name="Area" id="5"/>
    <tableColumn name="Basket_ID" id="6"/>
    <tableColumn name="Basket_Name" id="7"/>
    <tableColumn name="Subscription_Price" id="8"/>
    <tableColumn name="Frequency" id="9"/>
    <tableColumn name="Delivery_Day" id="10"/>
    <tableColumn name="Next_Delivery_Date" id="11"/>
    <tableColumn name="Status" id="12"/>
    <tableColumn name="Start_Date" id="13"/>
    <tableColumn name="End_Date" id="14"/>
    <tableColumn name="Address" id="15"/>
    <tableColumn name="Created_At" id="16"/>
    <tableColumn name="Last_Order_Date" id="17"/>
    <tableColumn name="Notes" id="18"/>
  </tableColumns>
  <tableStyleInfo name="Basket_Subscriptions-style" showColumnStripes="0" showFirstColumn="1" showLastColumn="1" showRowStripes="1"/>
</table>
</file>

<file path=xl/tables/table16.xml><?xml version="1.0" encoding="utf-8"?>
<table xmlns="http://schemas.openxmlformats.org/spreadsheetml/2006/main" ref="A1:S1000" displayName="Subscription_Orders" name="Subscription_Orders" id="16">
  <tableColumns count="19">
    <tableColumn name="Subscription_Order_ID" id="1"/>
    <tableColumn name="Subscription_ID" id="2"/>
    <tableColumn name="Customer_ID" id="3"/>
    <tableColumn name="Customer_Name" id="4"/>
    <tableColumn name="Phone" id="5"/>
    <tableColumn name="Basket_ID" id="6"/>
    <tableColumn name="Basket_Name" id="7"/>
    <tableColumn name="Plan_ID" id="8"/>
    <tableColumn name="Plan_Date" id="9"/>
    <tableColumn name="Subscription_Price" id="10"/>
    <tableColumn name="Delivery_Date" id="11"/>
    <tableColumn name="Address" id="12"/>
    <tableColumn name="Order_Status" id="13"/>
    <tableColumn name="Payment_Status" id="14"/>
    <tableColumn name="Delivery_Status" id="15"/>
    <tableColumn name="Created_At" id="16"/>
    <tableColumn name="Processed_At" id="17"/>
    <tableColumn name="Linked_Order_ID" id="18"/>
    <tableColumn name="Notes" id="19"/>
  </tableColumns>
  <tableStyleInfo name="Subscription_Orders-style" showColumnStripes="0" showFirstColumn="1" showLastColumn="1" showRowStripes="1"/>
</table>
</file>

<file path=xl/tables/table17.xml><?xml version="1.0" encoding="utf-8"?>
<table xmlns="http://schemas.openxmlformats.org/spreadsheetml/2006/main" ref="A1:J12" displayName="Table2" name="Table2" id="17">
  <tableColumns count="10">
    <tableColumn name="Message_ID" id="1"/>
    <tableColumn name="Created_At" id="2"/>
    <tableColumn name="Request_ID" id="3"/>
    <tableColumn name="Mobile_Number" id="4"/>
    <tableColumn name="Customer_Name" id="5"/>
    <tableColumn name="Message_Type" id="6"/>
    <tableColumn name="Message" id="7"/>
    <tableColumn name="Status" id="8"/>
    <tableColumn name="Sent_At" id="9"/>
    <tableColumn name="WhatsApp_Link" id="10"/>
  </tableColumns>
  <tableStyleInfo name="Pending_WhatsApp_Messages-style" showColumnStripes="0" showFirstColumn="1" showLastColumn="1" showRowStripes="1"/>
</table>
</file>

<file path=xl/tables/table18.xml><?xml version="1.0" encoding="utf-8"?>
<table xmlns="http://schemas.openxmlformats.org/spreadsheetml/2006/main" ref="A1:H8" displayName="OTP_Verification" name="OTP_Verification" id="18">
  <tableColumns count="8">
    <tableColumn name="Mobile_Number" id="1"/>
    <tableColumn name="OTP_Hash" id="2"/>
    <tableColumn name="Salt" id="3"/>
    <tableColumn name="Generated_Time" id="4"/>
    <tableColumn name="Expiry_Time" id="5"/>
    <tableColumn name="Attempts" id="6"/>
    <tableColumn name="Request_Window_Start" id="7"/>
    <tableColumn name="Request_Count" id="8"/>
  </tableColumns>
  <tableStyleInfo name="OTP_Verification-style" showColumnStripes="0" showFirstColumn="1" showLastColumn="1" showRowStripes="1"/>
</table>
</file>

<file path=xl/tables/table19.xml><?xml version="1.0" encoding="utf-8"?>
<table xmlns="http://schemas.openxmlformats.org/spreadsheetml/2006/main" ref="A1:Z1000" displayName="Table4" name="Table4" id="19">
  <tableColumns count="26">
    <tableColumn name="OTP_ID" id="1"/>
    <tableColumn name="Mobile_Number" id="2"/>
    <tableColumn name="OTP_Hash" id="3"/>
    <tableColumn name="OTP_Salt" id="4"/>
    <tableColumn name="Created_At" id="5"/>
    <tableColumn name="Expires_At" id="6"/>
    <tableColumn name="Attempts" id="7"/>
    <tableColumn name="Purpose" id="8"/>
    <tableColumn name="Status" id="9"/>
    <tableColumn name="Column 1" id="10"/>
    <tableColumn name="Column 2" id="11"/>
    <tableColumn name="Column 3" id="12"/>
    <tableColumn name="Column 4" id="13"/>
    <tableColumn name="Column 5" id="14"/>
    <tableColumn name="Column 6" id="15"/>
    <tableColumn name="Column 7" id="16"/>
    <tableColumn name="Column 8" id="17"/>
    <tableColumn name="Column 9" id="18"/>
    <tableColumn name="Column 10" id="19"/>
    <tableColumn name="Column 11" id="20"/>
    <tableColumn name="Column 12" id="21"/>
    <tableColumn name="Column 13" id="22"/>
    <tableColumn name="Column 14" id="23"/>
    <tableColumn name="Column 15" id="24"/>
    <tableColumn name="Column 16" id="25"/>
    <tableColumn name="Column 17" id="26"/>
  </tableColumns>
  <tableStyleInfo name="Customer_OTP-style" showColumnStripes="0" showFirstColumn="1" showLastColumn="1" showRowStripes="1"/>
</table>
</file>

<file path=xl/tables/table20.xml><?xml version="1.0" encoding="utf-8"?>
<table xmlns="http://schemas.openxmlformats.org/spreadsheetml/2006/main" ref="A1:K997" displayName="Customer_Accounts" name="Customer_Accounts" id="20">
  <tableColumns count="11">
    <tableColumn name="Customer_ID" id="1"/>
    <tableColumn name="Mobile_Number" id="2"/>
    <tableColumn name="Customer_Name" id="3"/>
    <tableColumn name="PIN_Hash" id="4"/>
    <tableColumn name="PIN_Salt" id="5"/>
    <tableColumn name="Account_Status" id="6"/>
    <tableColumn name="Created_At" id="7"/>
    <tableColumn name="Updated_At" id="8"/>
    <tableColumn name="Last_Login_At" id="9"/>
    <tableColumn name="Failed_Login_Count" id="10"/>
    <tableColumn name="Locked_Until" id="11"/>
  </tableColumns>
  <tableStyleInfo name="Customer_Accounts-style" showColumnStripes="0" showFirstColumn="1" showLastColumn="1" showRowStripes="1"/>
</table>
</file>

<file path=xl/tables/table21.xml><?xml version="1.0" encoding="utf-8"?>
<table xmlns="http://schemas.openxmlformats.org/spreadsheetml/2006/main" ref="A1:Z1000" displayName="Table5" name="Table5" id="22">
  <tableColumns count="26">
    <tableColumn name="Audit_ID" id="1"/>
    <tableColumn name="Customer_ID" id="2"/>
    <tableColumn name="Mobile_Number" id="3"/>
    <tableColumn name="Action" id="4"/>
    <tableColumn name="Timestamp" id="5"/>
    <tableColumn name="Success" id="6"/>
    <tableColumn name="Failure_Reason" id="7"/>
    <tableColumn name="IP_Info" id="8"/>
    <tableColumn name="User_Agent" id="9"/>
    <tableColumn name="Column 1" id="10"/>
    <tableColumn name="Column 2" id="11"/>
    <tableColumn name="Column 3" id="12"/>
    <tableColumn name="Column 4" id="13"/>
    <tableColumn name="Column 5" id="14"/>
    <tableColumn name="Column 6" id="15"/>
    <tableColumn name="Column 7" id="16"/>
    <tableColumn name="Column 8" id="17"/>
    <tableColumn name="Column 9" id="18"/>
    <tableColumn name="Column 10" id="19"/>
    <tableColumn name="Column 11" id="20"/>
    <tableColumn name="Column 12" id="21"/>
    <tableColumn name="Column 13" id="22"/>
    <tableColumn name="Column 14" id="23"/>
    <tableColumn name="Column 15" id="24"/>
    <tableColumn name="Column 16" id="25"/>
    <tableColumn name="Column 17" id="26"/>
  </tableColumns>
  <tableStyleInfo name="Customer_Login_Audit-style" showColumnStripes="0" showFirstColumn="1" showLastColumn="1" showRowStripes="1"/>
</table>
</file>

<file path=xl/tables/table22.xml><?xml version="1.0" encoding="utf-8"?>
<table xmlns="http://schemas.openxmlformats.org/spreadsheetml/2006/main" headerRowCount="0" ref="A1:K1" displayName="Verified__Devices" name="Verified__Devices" id="2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Verified_Devices-style"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ref="A1:F999" displayName="Delivery_Persons" name="Delivery_Persons" id="23">
  <tableColumns count="6">
    <tableColumn name="Driver_ID" id="1"/>
    <tableColumn name="Name" id="2"/>
    <tableColumn name="Mobile_Number" id="3"/>
    <tableColumn name="Email" id="4"/>
    <tableColumn name="Area" id="5"/>
    <tableColumn name="Status" id="6"/>
  </tableColumns>
  <tableStyleInfo name="Delivery_Persons-style" showColumnStripes="0" showFirstColumn="1" showLastColumn="1" showRowStripes="1"/>
</table>
</file>

<file path=xl/tables/table24.xml><?xml version="1.0" encoding="utf-8"?>
<table xmlns="http://schemas.openxmlformats.org/spreadsheetml/2006/main" ref="A1:AB949" displayName="Pickup_dropoff" name="Pickup_dropoff" id="24">
  <tableColumns count="28">
    <tableColumn name="Task_ID" id="1"/>
    <tableColumn name="Date" id="2"/>
    <tableColumn name="Task Type" id="3"/>
    <tableColumn name="Related ID" id="4"/>
    <tableColumn name="Order_ID" id="5"/>
    <tableColumn name="Customer_Name" id="6"/>
    <tableColumn name="WhatsApp Number" id="7"/>
    <tableColumn name="Pickup From" id="8"/>
    <tableColumn name="Drop-off To" id="9"/>
    <tableColumn name="Area / Route" id="10"/>
    <tableColumn name="Assigned Person" id="11"/>
    <tableColumn name="Transport Mode" id="12"/>
    <tableColumn name="Pickup Status" id="13"/>
    <tableColumn name="Drop-off Status" id="14"/>
    <tableColumn name="Logistics Status" id="15"/>
    <tableColumn name="Delivery_Charge" id="16"/>
    <tableColumn name="Collection_Charge" id="17"/>
    <tableColumn name="Total_Logistics_Cost" id="18"/>
    <tableColumn name="Security Code" id="19"/>
    <tableColumn name="Confirmation Method" id="20"/>
    <tableColumn name="Entered OTP" id="21"/>
    <tableColumn name="Payment_Status" id="22"/>
    <tableColumn name="Items_Count" id="23"/>
    <tableColumn name="Order_Amount" id="24"/>
    <tableColumn name="Final_Amount" id="25"/>
    <tableColumn name="Order Summary" id="26"/>
    <tableColumn name="Notes" id="27"/>
    <tableColumn name="Order_Source" id="28"/>
  </tableColumns>
  <tableStyleInfo name="Pickup &amp; Drop-off -style" showColumnStripes="0" showFirstColumn="1" showLastColumn="1" showRowStripes="1"/>
</table>
</file>

<file path=xl/tables/table25.xml><?xml version="1.0" encoding="utf-8"?>
<table xmlns="http://schemas.openxmlformats.org/spreadsheetml/2006/main" headerRowCount="0" ref="A1:H1" displayName="Grower_Verification" name="Grower_Verification" id="25">
  <tableColumns count="8">
    <tableColumn name="Column1" id="1"/>
    <tableColumn name="Column2" id="2"/>
    <tableColumn name="Column3" id="3"/>
    <tableColumn name="Column4" id="4"/>
    <tableColumn name="Column5" id="5"/>
    <tableColumn name="Column6" id="6"/>
    <tableColumn name="Column7" id="7"/>
    <tableColumn name="Column8" id="8"/>
  </tableColumns>
  <tableStyleInfo name="Grower_Verification-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1:AB1" displayName="Survey" name="Survey" id="26">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ogle.com/maps/search/?api=1&amp;query=H.no.1-7-130%2F1%20revenue%20colony%20Subedari%20hanamkonda" TargetMode="External"/><Relationship Id="rId2" Type="http://schemas.openxmlformats.org/officeDocument/2006/relationships/hyperlink" Target="https://www.google.com/maps/dir/?api=1&amp;origin=18.04501410%2C79.60986780&amp;destination=H.no.1-7-130%2F1%20revenue%20colony%20Subedari%20hanamkonda&amp;travelmode=driving" TargetMode="External"/><Relationship Id="rId3" Type="http://schemas.openxmlformats.org/officeDocument/2006/relationships/hyperlink" Target="https://www.google.com/maps/search/?api=1&amp;query=11-29-281%2Croad%20no%203%2Cmv%20colony%2CDesaipet%20road%2CWarangal" TargetMode="External"/><Relationship Id="rId4" Type="http://schemas.openxmlformats.org/officeDocument/2006/relationships/hyperlink" Target="https://www.google.com/maps/dir/?api=1&amp;origin=18.04501410%2C79.60986780&amp;destination=11-29-281%2Croad%20no%203%2Cmv%20colony%2CDesaipet%20road%2CWarangal&amp;travelmode=driving" TargetMode="External"/><Relationship Id="rId11" Type="http://schemas.openxmlformats.org/officeDocument/2006/relationships/table" Target="../tables/table9.xml"/><Relationship Id="rId9" Type="http://schemas.openxmlformats.org/officeDocument/2006/relationships/drawing" Target="../drawings/drawing10.xml"/><Relationship Id="rId5" Type="http://schemas.openxmlformats.org/officeDocument/2006/relationships/hyperlink" Target="https://www.google.com/maps/search/?api=1&amp;query=47-5-1110%2Claxmi%20kakatiya%20Grand%2C%20Aakurthi%20enclave%0ASuraj%20bar%20and%20restaurant%20near%20paidipailly" TargetMode="External"/><Relationship Id="rId6" Type="http://schemas.openxmlformats.org/officeDocument/2006/relationships/hyperlink" Target="https://www.google.com/maps/dir/?api=1&amp;origin=18.04501410%2C79.60986780&amp;destination=47-5-1110%2Claxmi%20kakatiya%20Grand%2C%20Aakurthi%20enclave%0ASuraj%20bar%20and%20restaurant%20near%20paidipailly&amp;travelmode=driving" TargetMode="External"/><Relationship Id="rId7" Type="http://schemas.openxmlformats.org/officeDocument/2006/relationships/hyperlink" Target="https://www.google.com/maps/search/?api=1&amp;query=Bollikunta%20village%20near%20vagdevi%20engineering%20college%20506005" TargetMode="External"/><Relationship Id="rId8" Type="http://schemas.openxmlformats.org/officeDocument/2006/relationships/hyperlink" Target="https://www.google.com/maps/dir/?api=1&amp;origin=18.04501410%2C79.60986780&amp;destination=Bollikunta%20village%20near%20vagdevi%20engineering%20college%20506005&amp;travelmode=drivi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1.57"/>
    <col customWidth="1" min="2" max="2" width="43.57"/>
    <col customWidth="1" min="3" max="3" width="32.29"/>
    <col customWidth="1" min="4" max="4" width="21.57"/>
    <col customWidth="1" min="5" max="5" width="23.57"/>
    <col customWidth="1" min="6" max="6" width="29.86"/>
    <col customWidth="1" min="7" max="7" width="133.43"/>
    <col customWidth="1" min="8" max="9" width="43.0"/>
    <col customWidth="1" min="10" max="10" width="32.86"/>
    <col customWidth="1" min="11" max="11" width="30.14"/>
    <col customWidth="1" min="12" max="12" width="43.0"/>
    <col customWidth="1" min="13" max="13" width="26.57"/>
    <col customWidth="1" min="14" max="14" width="23.86"/>
    <col customWidth="1" min="15" max="18" width="43.0"/>
    <col customWidth="1" min="19" max="19" width="22.86"/>
    <col customWidth="1" min="20" max="20" width="43.0"/>
    <col customWidth="1" min="21" max="21" width="31.0"/>
    <col customWidth="1" min="22" max="24" width="43.0"/>
    <col customWidth="1" min="25" max="25" width="40.71"/>
    <col customWidth="1" min="26" max="26" width="43.0"/>
    <col customWidth="1" min="27" max="32" width="21.57"/>
  </cols>
  <sheetData>
    <row r="1" ht="22.5" customHeight="1">
      <c r="A1" s="5" t="s">
        <v>19</v>
      </c>
      <c r="B1" s="5" t="s">
        <v>21</v>
      </c>
      <c r="C1" s="5" t="s">
        <v>22</v>
      </c>
      <c r="D1" s="5" t="s">
        <v>23</v>
      </c>
      <c r="E1" s="5" t="s">
        <v>24</v>
      </c>
      <c r="F1" s="5" t="s">
        <v>25</v>
      </c>
      <c r="G1" s="5" t="s">
        <v>27</v>
      </c>
      <c r="H1" s="5" t="s">
        <v>29</v>
      </c>
      <c r="I1" s="5" t="s">
        <v>31</v>
      </c>
      <c r="J1" s="5" t="s">
        <v>36</v>
      </c>
      <c r="K1" s="5" t="s">
        <v>40</v>
      </c>
      <c r="L1" s="5" t="s">
        <v>42</v>
      </c>
      <c r="M1" s="5" t="s">
        <v>45</v>
      </c>
      <c r="N1" s="5" t="s">
        <v>48</v>
      </c>
      <c r="O1" s="5" t="s">
        <v>51</v>
      </c>
      <c r="P1" s="5" t="s">
        <v>54</v>
      </c>
      <c r="Q1" s="5" t="s">
        <v>57</v>
      </c>
      <c r="R1" s="5" t="s">
        <v>60</v>
      </c>
      <c r="S1" s="5" t="s">
        <v>63</v>
      </c>
      <c r="T1" s="5" t="s">
        <v>65</v>
      </c>
      <c r="U1" s="5" t="s">
        <v>69</v>
      </c>
      <c r="V1" s="5" t="s">
        <v>72</v>
      </c>
      <c r="W1" s="5" t="s">
        <v>76</v>
      </c>
      <c r="X1" s="5" t="s">
        <v>78</v>
      </c>
      <c r="Y1" s="5" t="s">
        <v>81</v>
      </c>
      <c r="Z1" s="5" t="s">
        <v>85</v>
      </c>
      <c r="AA1" s="9" t="s">
        <v>87</v>
      </c>
      <c r="AB1" s="9" t="s">
        <v>91</v>
      </c>
      <c r="AC1" s="9" t="s">
        <v>94</v>
      </c>
      <c r="AD1" s="9" t="s">
        <v>97</v>
      </c>
    </row>
    <row r="2" ht="22.5" customHeight="1">
      <c r="A2" s="11">
        <v>46268.30268717592</v>
      </c>
      <c r="B2" s="8" t="s">
        <v>105</v>
      </c>
      <c r="C2" s="8">
        <v>9.848768584E9</v>
      </c>
      <c r="D2" s="8" t="s">
        <v>110</v>
      </c>
      <c r="E2" s="8" t="s">
        <v>113</v>
      </c>
      <c r="F2" s="8" t="s">
        <v>13</v>
      </c>
      <c r="G2" s="8" t="s">
        <v>120</v>
      </c>
      <c r="H2" s="8" t="s">
        <v>131</v>
      </c>
      <c r="I2" s="8" t="s">
        <v>127</v>
      </c>
      <c r="J2" s="8" t="s">
        <v>139</v>
      </c>
      <c r="K2" s="8" t="s">
        <v>139</v>
      </c>
      <c r="L2" s="8" t="s">
        <v>147</v>
      </c>
      <c r="M2" s="8" t="s">
        <v>136</v>
      </c>
      <c r="N2" s="8" t="s">
        <v>130</v>
      </c>
      <c r="O2" s="8" t="s">
        <v>124</v>
      </c>
      <c r="P2" s="8" t="s">
        <v>134</v>
      </c>
      <c r="Q2" s="8" t="s">
        <v>134</v>
      </c>
      <c r="R2" s="8" t="s">
        <v>134</v>
      </c>
      <c r="S2" s="8" t="s">
        <v>160</v>
      </c>
      <c r="T2" s="8" t="s">
        <v>124</v>
      </c>
      <c r="V2" s="8" t="s">
        <v>140</v>
      </c>
      <c r="W2" s="8" t="s">
        <v>141</v>
      </c>
      <c r="X2" s="8" t="s">
        <v>141</v>
      </c>
      <c r="Y2" s="8" t="s">
        <v>170</v>
      </c>
      <c r="Z2" s="8" t="s">
        <v>173</v>
      </c>
    </row>
    <row r="3" ht="22.5" customHeight="1">
      <c r="A3" s="11">
        <v>46268.637489976856</v>
      </c>
      <c r="B3" s="8" t="s">
        <v>178</v>
      </c>
      <c r="C3" s="8">
        <v>9.010793776E9</v>
      </c>
      <c r="D3" s="8" t="s">
        <v>181</v>
      </c>
      <c r="E3" s="8" t="s">
        <v>183</v>
      </c>
      <c r="F3" s="8" t="s">
        <v>13</v>
      </c>
      <c r="G3" s="8" t="s">
        <v>188</v>
      </c>
      <c r="H3" s="8" t="s">
        <v>131</v>
      </c>
      <c r="I3" s="8" t="s">
        <v>127</v>
      </c>
      <c r="J3" s="8" t="s">
        <v>191</v>
      </c>
      <c r="K3" s="8" t="s">
        <v>193</v>
      </c>
      <c r="L3" s="8" t="s">
        <v>147</v>
      </c>
      <c r="M3" s="8" t="s">
        <v>125</v>
      </c>
      <c r="N3" s="8" t="s">
        <v>130</v>
      </c>
      <c r="O3" s="8" t="s">
        <v>124</v>
      </c>
      <c r="P3" s="8" t="s">
        <v>134</v>
      </c>
      <c r="Q3" s="8" t="s">
        <v>134</v>
      </c>
      <c r="R3" s="8" t="s">
        <v>134</v>
      </c>
      <c r="S3" s="8" t="s">
        <v>160</v>
      </c>
      <c r="T3" s="8" t="s">
        <v>124</v>
      </c>
      <c r="V3" s="8" t="s">
        <v>140</v>
      </c>
      <c r="W3" s="8" t="s">
        <v>141</v>
      </c>
      <c r="X3" s="8" t="s">
        <v>141</v>
      </c>
      <c r="Y3" s="8" t="s">
        <v>170</v>
      </c>
      <c r="Z3" s="8" t="s">
        <v>173</v>
      </c>
    </row>
    <row r="4" ht="22.5" customHeight="1">
      <c r="A4" s="11">
        <v>46269.68442399305</v>
      </c>
      <c r="B4" s="8" t="s">
        <v>211</v>
      </c>
      <c r="C4" s="8">
        <v>7.036113394E9</v>
      </c>
      <c r="E4" s="8" t="s">
        <v>215</v>
      </c>
      <c r="F4" s="8" t="s">
        <v>13</v>
      </c>
      <c r="G4" s="8" t="s">
        <v>218</v>
      </c>
      <c r="H4" s="8" t="s">
        <v>131</v>
      </c>
      <c r="I4" s="8" t="s">
        <v>127</v>
      </c>
      <c r="J4" s="8" t="s">
        <v>220</v>
      </c>
      <c r="K4" s="8" t="s">
        <v>220</v>
      </c>
      <c r="L4" s="8" t="s">
        <v>147</v>
      </c>
      <c r="M4" s="8" t="s">
        <v>125</v>
      </c>
      <c r="N4" s="8" t="s">
        <v>224</v>
      </c>
      <c r="O4" s="8" t="s">
        <v>124</v>
      </c>
      <c r="P4" s="8" t="s">
        <v>134</v>
      </c>
      <c r="Q4" s="8" t="s">
        <v>134</v>
      </c>
      <c r="R4" s="8" t="s">
        <v>134</v>
      </c>
      <c r="S4" s="8" t="s">
        <v>160</v>
      </c>
      <c r="T4" s="8" t="s">
        <v>124</v>
      </c>
      <c r="V4" s="8" t="s">
        <v>140</v>
      </c>
      <c r="W4" s="8" t="s">
        <v>141</v>
      </c>
      <c r="X4" s="8" t="s">
        <v>141</v>
      </c>
      <c r="Y4" s="8" t="s">
        <v>170</v>
      </c>
      <c r="Z4" s="8" t="s">
        <v>145</v>
      </c>
    </row>
    <row r="5" ht="22.5" customHeight="1">
      <c r="A5" s="11">
        <v>46270.46636057871</v>
      </c>
      <c r="B5" s="8" t="s">
        <v>238</v>
      </c>
      <c r="C5" s="8" t="s">
        <v>239</v>
      </c>
      <c r="E5" s="8" t="s">
        <v>241</v>
      </c>
      <c r="F5" s="8" t="s">
        <v>242</v>
      </c>
      <c r="G5" s="8" t="s">
        <v>244</v>
      </c>
      <c r="H5" s="8" t="s">
        <v>247</v>
      </c>
      <c r="I5" s="8" t="s">
        <v>248</v>
      </c>
      <c r="J5" s="8" t="s">
        <v>250</v>
      </c>
      <c r="K5" s="8">
        <v>100.0</v>
      </c>
      <c r="L5" s="8" t="s">
        <v>147</v>
      </c>
      <c r="M5" s="8" t="s">
        <v>136</v>
      </c>
      <c r="N5" s="8" t="s">
        <v>224</v>
      </c>
      <c r="O5" s="8" t="s">
        <v>124</v>
      </c>
      <c r="P5" s="8" t="s">
        <v>134</v>
      </c>
      <c r="Q5" s="8" t="s">
        <v>134</v>
      </c>
      <c r="R5" s="8" t="s">
        <v>134</v>
      </c>
      <c r="S5" s="8" t="s">
        <v>160</v>
      </c>
      <c r="T5" s="8" t="s">
        <v>124</v>
      </c>
      <c r="V5" s="8" t="s">
        <v>140</v>
      </c>
      <c r="W5" s="8" t="s">
        <v>141</v>
      </c>
      <c r="X5" s="8" t="s">
        <v>141</v>
      </c>
      <c r="Y5" s="8" t="s">
        <v>170</v>
      </c>
      <c r="Z5" s="8" t="s">
        <v>173</v>
      </c>
    </row>
    <row r="6" ht="22.5" customHeight="1">
      <c r="A6" s="11">
        <v>46270.49695177084</v>
      </c>
      <c r="B6" s="8" t="s">
        <v>273</v>
      </c>
      <c r="C6" s="8">
        <v>9.390320356E9</v>
      </c>
      <c r="E6" s="8" t="s">
        <v>278</v>
      </c>
      <c r="F6" s="8" t="s">
        <v>13</v>
      </c>
      <c r="G6" s="8" t="s">
        <v>283</v>
      </c>
      <c r="H6" s="8" t="s">
        <v>247</v>
      </c>
      <c r="I6" s="8" t="s">
        <v>127</v>
      </c>
      <c r="K6" s="8">
        <v>100.0</v>
      </c>
      <c r="L6" s="8" t="s">
        <v>147</v>
      </c>
      <c r="M6" s="8" t="s">
        <v>125</v>
      </c>
      <c r="N6" s="8" t="s">
        <v>224</v>
      </c>
      <c r="O6" s="8" t="s">
        <v>124</v>
      </c>
      <c r="P6" s="8" t="s">
        <v>134</v>
      </c>
      <c r="Q6" s="8" t="s">
        <v>134</v>
      </c>
      <c r="R6" s="8" t="s">
        <v>134</v>
      </c>
      <c r="S6" s="8" t="s">
        <v>160</v>
      </c>
      <c r="T6" s="8" t="s">
        <v>124</v>
      </c>
      <c r="V6" s="8" t="s">
        <v>140</v>
      </c>
      <c r="W6" s="8" t="s">
        <v>141</v>
      </c>
      <c r="X6" s="8" t="s">
        <v>141</v>
      </c>
      <c r="Y6" s="8" t="s">
        <v>170</v>
      </c>
      <c r="Z6" s="8" t="s">
        <v>173</v>
      </c>
    </row>
    <row r="7" ht="22.5" customHeight="1">
      <c r="A7" s="11">
        <v>46274.44681489583</v>
      </c>
      <c r="B7" s="8" t="s">
        <v>68</v>
      </c>
      <c r="C7" s="8">
        <v>8.801616021E9</v>
      </c>
      <c r="D7" s="8" t="s">
        <v>116</v>
      </c>
      <c r="E7" s="8" t="s">
        <v>75</v>
      </c>
      <c r="F7" s="8" t="s">
        <v>119</v>
      </c>
      <c r="G7" s="8" t="s">
        <v>314</v>
      </c>
      <c r="H7" s="8" t="s">
        <v>247</v>
      </c>
      <c r="I7" s="8" t="s">
        <v>127</v>
      </c>
      <c r="J7" s="8" t="s">
        <v>129</v>
      </c>
      <c r="K7" s="8" t="s">
        <v>318</v>
      </c>
      <c r="L7" s="8" t="s">
        <v>147</v>
      </c>
      <c r="M7" s="8" t="s">
        <v>88</v>
      </c>
      <c r="N7" s="8" t="s">
        <v>104</v>
      </c>
      <c r="O7" s="8" t="s">
        <v>124</v>
      </c>
      <c r="P7" s="8" t="s">
        <v>134</v>
      </c>
      <c r="Q7" s="8" t="s">
        <v>134</v>
      </c>
      <c r="R7" s="8" t="s">
        <v>134</v>
      </c>
      <c r="S7" s="8" t="s">
        <v>104</v>
      </c>
      <c r="T7" s="8" t="s">
        <v>124</v>
      </c>
      <c r="V7" s="8" t="s">
        <v>140</v>
      </c>
      <c r="W7" s="8" t="s">
        <v>141</v>
      </c>
      <c r="X7" s="8" t="s">
        <v>141</v>
      </c>
      <c r="Y7" s="8" t="s">
        <v>142</v>
      </c>
      <c r="Z7" s="8" t="s">
        <v>145</v>
      </c>
      <c r="AA7" s="8" t="s">
        <v>146</v>
      </c>
    </row>
    <row r="8" ht="22.5" customHeight="1">
      <c r="A8" s="11">
        <v>46276.36881939815</v>
      </c>
      <c r="B8" s="8" t="s">
        <v>115</v>
      </c>
      <c r="C8" s="8">
        <v>9.573902622E9</v>
      </c>
      <c r="D8" s="8" t="s">
        <v>150</v>
      </c>
      <c r="E8" s="8" t="s">
        <v>121</v>
      </c>
      <c r="F8" s="8" t="s">
        <v>151</v>
      </c>
      <c r="G8" s="8" t="s">
        <v>123</v>
      </c>
      <c r="H8" s="8" t="s">
        <v>131</v>
      </c>
      <c r="I8" s="8" t="s">
        <v>127</v>
      </c>
      <c r="J8" s="8" t="s">
        <v>154</v>
      </c>
      <c r="K8" s="8" t="s">
        <v>155</v>
      </c>
      <c r="L8" s="8" t="s">
        <v>147</v>
      </c>
      <c r="M8" s="8" t="s">
        <v>125</v>
      </c>
      <c r="N8" s="8" t="s">
        <v>130</v>
      </c>
      <c r="O8" s="8" t="s">
        <v>124</v>
      </c>
      <c r="P8" s="8" t="s">
        <v>134</v>
      </c>
      <c r="Q8" s="8" t="s">
        <v>134</v>
      </c>
      <c r="R8" s="8" t="s">
        <v>134</v>
      </c>
      <c r="S8" s="8" t="s">
        <v>130</v>
      </c>
      <c r="T8" s="8" t="s">
        <v>124</v>
      </c>
      <c r="V8" s="8" t="s">
        <v>140</v>
      </c>
      <c r="W8" s="8" t="s">
        <v>141</v>
      </c>
      <c r="X8" s="8" t="s">
        <v>141</v>
      </c>
      <c r="Y8" s="8" t="s">
        <v>142</v>
      </c>
      <c r="Z8" s="8" t="s">
        <v>145</v>
      </c>
      <c r="AA8" s="8" t="s">
        <v>146</v>
      </c>
    </row>
    <row r="9" ht="22.5" customHeight="1">
      <c r="A9" s="11">
        <v>46277.41229974537</v>
      </c>
      <c r="B9" s="8" t="s">
        <v>133</v>
      </c>
      <c r="C9" s="8">
        <v>8.096908161E9</v>
      </c>
      <c r="D9" s="8" t="s">
        <v>163</v>
      </c>
      <c r="E9" s="8" t="s">
        <v>75</v>
      </c>
      <c r="F9" s="8" t="s">
        <v>119</v>
      </c>
      <c r="G9" s="8" t="s">
        <v>135</v>
      </c>
      <c r="H9" s="8" t="s">
        <v>131</v>
      </c>
      <c r="I9" s="8" t="s">
        <v>127</v>
      </c>
      <c r="J9" s="8" t="s">
        <v>166</v>
      </c>
      <c r="K9" s="8" t="s">
        <v>167</v>
      </c>
      <c r="L9" s="8" t="s">
        <v>147</v>
      </c>
      <c r="M9" s="8" t="s">
        <v>136</v>
      </c>
      <c r="N9" s="8" t="s">
        <v>104</v>
      </c>
      <c r="O9" s="8" t="s">
        <v>124</v>
      </c>
      <c r="P9" s="8" t="s">
        <v>134</v>
      </c>
      <c r="Q9" s="8" t="s">
        <v>134</v>
      </c>
      <c r="R9" s="8" t="s">
        <v>134</v>
      </c>
      <c r="S9" s="8" t="s">
        <v>104</v>
      </c>
      <c r="T9" s="8" t="s">
        <v>124</v>
      </c>
      <c r="V9" s="8" t="s">
        <v>140</v>
      </c>
      <c r="W9" s="8" t="s">
        <v>141</v>
      </c>
      <c r="X9" s="8" t="s">
        <v>141</v>
      </c>
      <c r="Y9" s="8" t="s">
        <v>142</v>
      </c>
      <c r="Z9" s="8" t="s">
        <v>145</v>
      </c>
      <c r="AA9" s="8" t="s">
        <v>146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57"/>
    <col customWidth="1" min="2" max="2" width="24.86"/>
    <col customWidth="1" min="3" max="4" width="17.43"/>
    <col customWidth="1" min="5" max="5" width="31.29"/>
    <col customWidth="1" min="6" max="6" width="33.29"/>
    <col customWidth="1" min="7" max="7" width="53.0"/>
    <col customWidth="1" min="10" max="10" width="55.29"/>
    <col customWidth="1" min="11" max="11" width="41.86"/>
    <col customWidth="1" min="12" max="12" width="54.43"/>
    <col customWidth="1" min="15" max="15" width="58.43"/>
    <col customWidth="1" min="16" max="16" width="121.43"/>
    <col customWidth="1" min="20" max="20" width="34.43"/>
    <col customWidth="1" min="21" max="21" width="74.57"/>
    <col customWidth="1" min="27" max="27" width="18.43"/>
    <col customWidth="1" min="28" max="28" width="32.43"/>
    <col customWidth="1" min="29" max="30" width="29.29"/>
  </cols>
  <sheetData>
    <row r="1" ht="22.5" customHeight="1">
      <c r="A1" s="4" t="s">
        <v>19</v>
      </c>
      <c r="B1" s="4" t="s">
        <v>21</v>
      </c>
      <c r="C1" s="4" t="s">
        <v>22</v>
      </c>
      <c r="D1" s="4" t="s">
        <v>23</v>
      </c>
      <c r="E1" s="4" t="s">
        <v>24</v>
      </c>
      <c r="F1" s="4" t="s">
        <v>25</v>
      </c>
      <c r="G1" s="4" t="s">
        <v>27</v>
      </c>
      <c r="H1" s="4" t="s">
        <v>29</v>
      </c>
      <c r="I1" s="4" t="s">
        <v>31</v>
      </c>
      <c r="J1" s="4" t="s">
        <v>34</v>
      </c>
      <c r="K1" s="4" t="s">
        <v>38</v>
      </c>
      <c r="L1" s="4" t="s">
        <v>42</v>
      </c>
      <c r="M1" s="4" t="s">
        <v>45</v>
      </c>
      <c r="N1" s="4" t="s">
        <v>48</v>
      </c>
      <c r="O1" s="4" t="s">
        <v>51</v>
      </c>
      <c r="P1" s="4" t="s">
        <v>54</v>
      </c>
      <c r="Q1" s="4" t="s">
        <v>57</v>
      </c>
      <c r="R1" s="4" t="s">
        <v>60</v>
      </c>
      <c r="S1" s="4" t="s">
        <v>63</v>
      </c>
      <c r="T1" s="4" t="s">
        <v>65</v>
      </c>
      <c r="U1" s="4" t="s">
        <v>69</v>
      </c>
      <c r="V1" s="4" t="s">
        <v>72</v>
      </c>
      <c r="W1" s="4" t="s">
        <v>76</v>
      </c>
      <c r="X1" s="4" t="s">
        <v>78</v>
      </c>
      <c r="Y1" s="4" t="s">
        <v>81</v>
      </c>
      <c r="Z1" s="4" t="s">
        <v>85</v>
      </c>
      <c r="AA1" s="4" t="s">
        <v>87</v>
      </c>
      <c r="AB1" s="4" t="s">
        <v>91</v>
      </c>
      <c r="AC1" s="4" t="s">
        <v>99</v>
      </c>
      <c r="AD1" s="4" t="s">
        <v>94</v>
      </c>
      <c r="AE1" s="12"/>
      <c r="AF1" s="12"/>
      <c r="AG1" s="12"/>
    </row>
    <row r="2">
      <c r="A2" s="13">
        <v>46274.446805555555</v>
      </c>
      <c r="B2" s="14" t="s">
        <v>68</v>
      </c>
      <c r="C2" s="14">
        <v>8.801616021E9</v>
      </c>
      <c r="D2" s="14" t="s">
        <v>116</v>
      </c>
      <c r="E2" s="14" t="s">
        <v>75</v>
      </c>
      <c r="F2" s="14" t="s">
        <v>119</v>
      </c>
      <c r="G2" s="14" t="s">
        <v>84</v>
      </c>
      <c r="H2" s="14" t="s">
        <v>124</v>
      </c>
      <c r="I2" s="14" t="s">
        <v>127</v>
      </c>
      <c r="J2" s="14" t="s">
        <v>129</v>
      </c>
      <c r="K2" s="14">
        <v>150.0</v>
      </c>
      <c r="L2" s="14" t="b">
        <v>1</v>
      </c>
      <c r="M2" s="14" t="s">
        <v>88</v>
      </c>
      <c r="N2" s="14" t="s">
        <v>104</v>
      </c>
      <c r="O2" s="14" t="s">
        <v>124</v>
      </c>
      <c r="P2" s="14" t="s">
        <v>134</v>
      </c>
      <c r="Q2" s="14" t="s">
        <v>134</v>
      </c>
      <c r="R2" s="14" t="s">
        <v>134</v>
      </c>
      <c r="S2" s="14" t="s">
        <v>104</v>
      </c>
      <c r="T2" s="14" t="s">
        <v>124</v>
      </c>
      <c r="V2" s="14" t="s">
        <v>140</v>
      </c>
      <c r="W2" s="14" t="s">
        <v>141</v>
      </c>
      <c r="X2" s="14" t="s">
        <v>141</v>
      </c>
      <c r="Y2" s="14" t="s">
        <v>142</v>
      </c>
      <c r="Z2" s="14" t="s">
        <v>145</v>
      </c>
      <c r="AA2" s="14" t="s">
        <v>146</v>
      </c>
      <c r="AC2" s="14" t="s">
        <v>61</v>
      </c>
      <c r="AD2" s="14" t="s">
        <v>95</v>
      </c>
    </row>
    <row r="3">
      <c r="A3" s="13">
        <v>46276.36880787037</v>
      </c>
      <c r="B3" s="14" t="s">
        <v>115</v>
      </c>
      <c r="C3" s="14">
        <v>9.573902622E9</v>
      </c>
      <c r="D3" s="14" t="s">
        <v>150</v>
      </c>
      <c r="E3" s="14" t="s">
        <v>121</v>
      </c>
      <c r="F3" s="14" t="s">
        <v>151</v>
      </c>
      <c r="G3" s="14" t="s">
        <v>123</v>
      </c>
      <c r="H3" s="14" t="s">
        <v>124</v>
      </c>
      <c r="I3" s="14" t="s">
        <v>127</v>
      </c>
      <c r="J3" s="14" t="s">
        <v>154</v>
      </c>
      <c r="K3" s="16" t="s">
        <v>155</v>
      </c>
      <c r="L3" s="14" t="b">
        <v>1</v>
      </c>
      <c r="M3" s="14" t="s">
        <v>125</v>
      </c>
      <c r="N3" s="14" t="s">
        <v>130</v>
      </c>
      <c r="O3" s="14" t="s">
        <v>124</v>
      </c>
      <c r="P3" s="14" t="s">
        <v>134</v>
      </c>
      <c r="Q3" s="14" t="s">
        <v>134</v>
      </c>
      <c r="R3" s="14" t="s">
        <v>134</v>
      </c>
      <c r="S3" s="14" t="s">
        <v>130</v>
      </c>
      <c r="T3" s="14" t="s">
        <v>124</v>
      </c>
      <c r="V3" s="14" t="s">
        <v>140</v>
      </c>
      <c r="W3" s="14" t="s">
        <v>141</v>
      </c>
      <c r="X3" s="14" t="s">
        <v>141</v>
      </c>
      <c r="Y3" s="14" t="s">
        <v>142</v>
      </c>
      <c r="Z3" s="14" t="s">
        <v>145</v>
      </c>
      <c r="AA3" s="14" t="s">
        <v>146</v>
      </c>
      <c r="AC3" s="14" t="s">
        <v>111</v>
      </c>
      <c r="AD3" s="14" t="s">
        <v>95</v>
      </c>
    </row>
    <row r="4">
      <c r="A4" s="13">
        <v>46277.41229166667</v>
      </c>
      <c r="B4" s="14" t="s">
        <v>133</v>
      </c>
      <c r="C4" s="14">
        <v>8.096908161E9</v>
      </c>
      <c r="D4" s="14" t="s">
        <v>163</v>
      </c>
      <c r="E4" s="14" t="s">
        <v>75</v>
      </c>
      <c r="F4" s="14" t="s">
        <v>119</v>
      </c>
      <c r="G4" s="14" t="s">
        <v>135</v>
      </c>
      <c r="H4" s="14" t="s">
        <v>124</v>
      </c>
      <c r="I4" s="14" t="s">
        <v>127</v>
      </c>
      <c r="J4" s="14" t="s">
        <v>166</v>
      </c>
      <c r="K4" s="16" t="s">
        <v>167</v>
      </c>
      <c r="L4" s="14" t="b">
        <v>1</v>
      </c>
      <c r="M4" s="14" t="s">
        <v>136</v>
      </c>
      <c r="N4" s="14" t="s">
        <v>104</v>
      </c>
      <c r="O4" s="14" t="s">
        <v>124</v>
      </c>
      <c r="P4" s="14" t="s">
        <v>134</v>
      </c>
      <c r="Q4" s="14" t="s">
        <v>134</v>
      </c>
      <c r="R4" s="14" t="s">
        <v>134</v>
      </c>
      <c r="S4" s="14" t="s">
        <v>104</v>
      </c>
      <c r="T4" s="14" t="s">
        <v>124</v>
      </c>
      <c r="V4" s="14" t="s">
        <v>140</v>
      </c>
      <c r="W4" s="14" t="s">
        <v>141</v>
      </c>
      <c r="X4" s="14" t="s">
        <v>141</v>
      </c>
      <c r="Y4" s="14" t="s">
        <v>142</v>
      </c>
      <c r="Z4" s="14" t="s">
        <v>145</v>
      </c>
      <c r="AA4" s="14" t="s">
        <v>146</v>
      </c>
      <c r="AC4" s="14" t="s">
        <v>132</v>
      </c>
      <c r="AD4" s="14" t="s">
        <v>95</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57"/>
    <col customWidth="1" min="2" max="2" width="34.43"/>
    <col customWidth="1" min="6" max="6" width="48.0"/>
    <col customWidth="1" min="8" max="8" width="43.57"/>
    <col customWidth="1" min="9" max="9" width="38.0"/>
  </cols>
  <sheetData>
    <row r="1">
      <c r="A1" s="1" t="s">
        <v>0</v>
      </c>
      <c r="B1" s="1" t="s">
        <v>1</v>
      </c>
      <c r="C1" s="1" t="s">
        <v>2</v>
      </c>
      <c r="D1" s="1" t="s">
        <v>3</v>
      </c>
      <c r="E1" s="1" t="s">
        <v>4</v>
      </c>
      <c r="F1" s="1" t="s">
        <v>5</v>
      </c>
      <c r="G1" s="1" t="s">
        <v>6</v>
      </c>
      <c r="H1" s="1" t="s">
        <v>7</v>
      </c>
      <c r="I1" s="1" t="s">
        <v>8</v>
      </c>
      <c r="J1" s="1" t="s">
        <v>9</v>
      </c>
    </row>
    <row r="2">
      <c r="A2" s="2" t="s">
        <v>10</v>
      </c>
    </row>
    <row r="3">
      <c r="A3" s="3" t="s">
        <v>11</v>
      </c>
      <c r="B3" s="3" t="s">
        <v>12</v>
      </c>
      <c r="C3" s="3" t="s">
        <v>13</v>
      </c>
      <c r="D3" s="3" t="s">
        <v>14</v>
      </c>
      <c r="E3" s="3" t="s">
        <v>15</v>
      </c>
      <c r="F3" s="3" t="s">
        <v>16</v>
      </c>
      <c r="G3" s="3" t="s">
        <v>17</v>
      </c>
      <c r="H3" s="3" t="s">
        <v>18</v>
      </c>
      <c r="I3" s="7"/>
      <c r="J3" s="7"/>
    </row>
    <row r="4">
      <c r="A4" s="3" t="s">
        <v>26</v>
      </c>
      <c r="B4" s="3" t="s">
        <v>28</v>
      </c>
      <c r="C4" s="3" t="s">
        <v>13</v>
      </c>
      <c r="D4" s="3" t="s">
        <v>14</v>
      </c>
      <c r="E4" s="3" t="s">
        <v>15</v>
      </c>
      <c r="F4" s="3" t="s">
        <v>32</v>
      </c>
      <c r="G4" s="3" t="s">
        <v>17</v>
      </c>
      <c r="H4" s="3" t="s">
        <v>35</v>
      </c>
      <c r="I4" s="7"/>
      <c r="J4" s="7"/>
    </row>
    <row r="5">
      <c r="A5" s="3" t="s">
        <v>39</v>
      </c>
      <c r="B5" s="3" t="s">
        <v>41</v>
      </c>
      <c r="C5" s="3" t="s">
        <v>13</v>
      </c>
      <c r="D5" s="3" t="s">
        <v>14</v>
      </c>
      <c r="E5" s="3" t="s">
        <v>15</v>
      </c>
      <c r="F5" s="3" t="s">
        <v>44</v>
      </c>
      <c r="G5" s="3" t="s">
        <v>17</v>
      </c>
      <c r="H5" s="3" t="s">
        <v>47</v>
      </c>
      <c r="I5" s="7"/>
      <c r="J5" s="7"/>
    </row>
    <row r="6">
      <c r="A6" s="3" t="s">
        <v>49</v>
      </c>
      <c r="B6" s="3" t="s">
        <v>50</v>
      </c>
      <c r="C6" s="3" t="s">
        <v>13</v>
      </c>
      <c r="D6" s="3" t="s">
        <v>14</v>
      </c>
      <c r="E6" s="3" t="s">
        <v>15</v>
      </c>
      <c r="F6" s="3" t="s">
        <v>53</v>
      </c>
      <c r="G6" s="3" t="s">
        <v>17</v>
      </c>
      <c r="H6" s="3" t="s">
        <v>55</v>
      </c>
      <c r="I6" s="7"/>
      <c r="J6" s="7"/>
    </row>
    <row r="7">
      <c r="A7" s="3" t="s">
        <v>58</v>
      </c>
      <c r="B7" s="3" t="s">
        <v>59</v>
      </c>
      <c r="C7" s="3" t="s">
        <v>13</v>
      </c>
      <c r="D7" s="3" t="s">
        <v>14</v>
      </c>
      <c r="E7" s="3" t="s">
        <v>15</v>
      </c>
      <c r="F7" s="3" t="s">
        <v>62</v>
      </c>
      <c r="G7" s="3" t="s">
        <v>17</v>
      </c>
      <c r="H7" s="3" t="s">
        <v>64</v>
      </c>
      <c r="I7" s="7"/>
      <c r="J7" s="7"/>
    </row>
    <row r="8">
      <c r="A8" s="3" t="s">
        <v>66</v>
      </c>
      <c r="B8" s="3" t="s">
        <v>67</v>
      </c>
      <c r="C8" s="3" t="s">
        <v>13</v>
      </c>
      <c r="D8" s="3" t="s">
        <v>14</v>
      </c>
      <c r="E8" s="3" t="s">
        <v>15</v>
      </c>
      <c r="F8" s="3" t="s">
        <v>70</v>
      </c>
      <c r="G8" s="3" t="s">
        <v>17</v>
      </c>
      <c r="H8" s="3" t="s">
        <v>71</v>
      </c>
      <c r="I8" s="7"/>
      <c r="J8" s="7"/>
    </row>
    <row r="9">
      <c r="A9" s="3" t="s">
        <v>73</v>
      </c>
      <c r="B9" s="3" t="s">
        <v>74</v>
      </c>
      <c r="C9" s="3" t="s">
        <v>13</v>
      </c>
      <c r="D9" s="3" t="s">
        <v>14</v>
      </c>
      <c r="E9" s="3" t="s">
        <v>15</v>
      </c>
      <c r="F9" s="3" t="s">
        <v>77</v>
      </c>
      <c r="G9" s="3" t="s">
        <v>17</v>
      </c>
      <c r="H9" s="3" t="s">
        <v>79</v>
      </c>
      <c r="I9" s="7"/>
      <c r="J9" s="7"/>
    </row>
    <row r="10">
      <c r="A10" s="3" t="s">
        <v>82</v>
      </c>
      <c r="B10" s="3" t="s">
        <v>83</v>
      </c>
      <c r="C10" s="3" t="s">
        <v>13</v>
      </c>
      <c r="D10" s="3" t="s">
        <v>14</v>
      </c>
      <c r="E10" s="3" t="s">
        <v>15</v>
      </c>
      <c r="F10" s="3" t="s">
        <v>86</v>
      </c>
      <c r="G10" s="3" t="s">
        <v>17</v>
      </c>
      <c r="H10" s="3" t="s">
        <v>89</v>
      </c>
      <c r="I10" s="7"/>
      <c r="J10" s="7"/>
    </row>
    <row r="11">
      <c r="A11" s="3" t="s">
        <v>90</v>
      </c>
      <c r="B11" s="3" t="s">
        <v>93</v>
      </c>
      <c r="C11" s="3" t="s">
        <v>13</v>
      </c>
      <c r="D11" s="3" t="s">
        <v>14</v>
      </c>
      <c r="E11" s="3" t="s">
        <v>15</v>
      </c>
      <c r="F11" s="3" t="s">
        <v>96</v>
      </c>
      <c r="G11" s="3" t="s">
        <v>17</v>
      </c>
      <c r="H11" s="3" t="s">
        <v>98</v>
      </c>
      <c r="I11" s="7"/>
      <c r="J11" s="7"/>
    </row>
    <row r="12">
      <c r="A12" s="3" t="s">
        <v>100</v>
      </c>
      <c r="B12" s="3" t="s">
        <v>101</v>
      </c>
      <c r="C12" s="3" t="s">
        <v>13</v>
      </c>
      <c r="D12" s="3" t="s">
        <v>14</v>
      </c>
      <c r="E12" s="3" t="s">
        <v>15</v>
      </c>
      <c r="F12" s="3" t="s">
        <v>102</v>
      </c>
      <c r="G12" s="3" t="s">
        <v>17</v>
      </c>
      <c r="H12" s="3" t="s">
        <v>103</v>
      </c>
      <c r="I12" s="7"/>
      <c r="J12" s="7"/>
    </row>
    <row r="13">
      <c r="A13" s="3" t="s">
        <v>106</v>
      </c>
      <c r="B13" s="3" t="s">
        <v>107</v>
      </c>
      <c r="C13" s="3" t="s">
        <v>13</v>
      </c>
      <c r="D13" s="3" t="s">
        <v>14</v>
      </c>
      <c r="E13" s="3" t="s">
        <v>15</v>
      </c>
      <c r="F13" s="3" t="s">
        <v>108</v>
      </c>
      <c r="G13" s="3" t="s">
        <v>17</v>
      </c>
      <c r="H13" s="3" t="s">
        <v>109</v>
      </c>
      <c r="I13" s="7"/>
      <c r="J13" s="7"/>
    </row>
    <row r="14">
      <c r="A14" s="3" t="s">
        <v>112</v>
      </c>
      <c r="B14" s="3" t="s">
        <v>114</v>
      </c>
      <c r="C14" s="3" t="s">
        <v>13</v>
      </c>
      <c r="D14" s="3" t="s">
        <v>14</v>
      </c>
      <c r="E14" s="3" t="s">
        <v>15</v>
      </c>
      <c r="F14" s="3" t="s">
        <v>117</v>
      </c>
      <c r="G14" s="3" t="s">
        <v>17</v>
      </c>
      <c r="H14" s="3" t="s">
        <v>118</v>
      </c>
      <c r="I14" s="7"/>
      <c r="J14" s="7"/>
    </row>
    <row r="15">
      <c r="A15" s="3" t="s">
        <v>126</v>
      </c>
      <c r="B15" s="3" t="s">
        <v>128</v>
      </c>
      <c r="C15" s="3" t="s">
        <v>13</v>
      </c>
      <c r="D15" s="3" t="s">
        <v>14</v>
      </c>
      <c r="E15" s="3" t="s">
        <v>15</v>
      </c>
      <c r="F15" s="3" t="s">
        <v>137</v>
      </c>
      <c r="G15" s="3" t="s">
        <v>17</v>
      </c>
      <c r="H15" s="3" t="s">
        <v>138</v>
      </c>
      <c r="I15" s="7"/>
      <c r="J15" s="7"/>
    </row>
    <row r="16">
      <c r="A16" s="3" t="s">
        <v>143</v>
      </c>
      <c r="B16" s="3" t="s">
        <v>144</v>
      </c>
      <c r="C16" s="3" t="s">
        <v>13</v>
      </c>
      <c r="D16" s="3" t="s">
        <v>14</v>
      </c>
      <c r="E16" s="3" t="s">
        <v>15</v>
      </c>
      <c r="F16" s="3" t="s">
        <v>148</v>
      </c>
      <c r="G16" s="3" t="s">
        <v>17</v>
      </c>
      <c r="H16" s="3" t="s">
        <v>149</v>
      </c>
      <c r="I16" s="7"/>
      <c r="J16" s="7"/>
    </row>
    <row r="17">
      <c r="A17" s="3" t="s">
        <v>152</v>
      </c>
      <c r="B17" s="3" t="s">
        <v>153</v>
      </c>
      <c r="C17" s="3" t="s">
        <v>13</v>
      </c>
      <c r="D17" s="3" t="s">
        <v>14</v>
      </c>
      <c r="E17" s="3" t="s">
        <v>15</v>
      </c>
      <c r="F17" s="3" t="s">
        <v>156</v>
      </c>
      <c r="G17" s="3" t="s">
        <v>17</v>
      </c>
      <c r="H17" s="3" t="s">
        <v>157</v>
      </c>
      <c r="I17" s="7"/>
      <c r="J17" s="7"/>
    </row>
    <row r="18">
      <c r="A18" s="3" t="s">
        <v>158</v>
      </c>
      <c r="B18" s="3" t="s">
        <v>159</v>
      </c>
      <c r="C18" s="3" t="s">
        <v>13</v>
      </c>
      <c r="D18" s="3" t="s">
        <v>14</v>
      </c>
      <c r="E18" s="3" t="s">
        <v>15</v>
      </c>
      <c r="F18" s="3" t="s">
        <v>161</v>
      </c>
      <c r="G18" s="3" t="s">
        <v>17</v>
      </c>
      <c r="H18" s="3" t="s">
        <v>162</v>
      </c>
      <c r="I18" s="7"/>
      <c r="J18" s="7"/>
    </row>
    <row r="19">
      <c r="A19" s="3" t="s">
        <v>164</v>
      </c>
      <c r="B19" s="3" t="s">
        <v>165</v>
      </c>
      <c r="C19" s="3" t="s">
        <v>13</v>
      </c>
      <c r="D19" s="3" t="s">
        <v>14</v>
      </c>
      <c r="E19" s="3" t="s">
        <v>15</v>
      </c>
      <c r="F19" s="3" t="s">
        <v>168</v>
      </c>
      <c r="G19" s="3" t="s">
        <v>17</v>
      </c>
      <c r="H19" s="3" t="s">
        <v>169</v>
      </c>
      <c r="I19" s="7"/>
      <c r="J19" s="7"/>
    </row>
    <row r="20">
      <c r="A20" s="3" t="s">
        <v>171</v>
      </c>
      <c r="B20" s="3" t="s">
        <v>172</v>
      </c>
      <c r="C20" s="3" t="s">
        <v>13</v>
      </c>
      <c r="D20" s="3" t="s">
        <v>14</v>
      </c>
      <c r="E20" s="3" t="s">
        <v>15</v>
      </c>
      <c r="F20" s="3" t="s">
        <v>174</v>
      </c>
      <c r="G20" s="3" t="s">
        <v>17</v>
      </c>
      <c r="H20" s="3" t="s">
        <v>175</v>
      </c>
      <c r="I20" s="7"/>
      <c r="J20" s="7"/>
    </row>
    <row r="21">
      <c r="A21" s="3" t="s">
        <v>176</v>
      </c>
      <c r="B21" s="3" t="s">
        <v>177</v>
      </c>
      <c r="C21" s="3" t="s">
        <v>13</v>
      </c>
      <c r="D21" s="3" t="s">
        <v>14</v>
      </c>
      <c r="E21" s="3" t="s">
        <v>15</v>
      </c>
      <c r="F21" s="3" t="s">
        <v>179</v>
      </c>
      <c r="G21" s="3" t="s">
        <v>17</v>
      </c>
      <c r="H21" s="3" t="s">
        <v>180</v>
      </c>
      <c r="I21" s="7"/>
      <c r="J21" s="7"/>
    </row>
    <row r="22">
      <c r="A22" s="3" t="s">
        <v>182</v>
      </c>
      <c r="B22" s="3" t="s">
        <v>184</v>
      </c>
      <c r="C22" s="3" t="s">
        <v>13</v>
      </c>
      <c r="D22" s="3" t="s">
        <v>185</v>
      </c>
      <c r="E22" s="3" t="s">
        <v>15</v>
      </c>
      <c r="F22" s="3" t="s">
        <v>186</v>
      </c>
      <c r="G22" s="3" t="s">
        <v>17</v>
      </c>
      <c r="H22" s="3" t="s">
        <v>187</v>
      </c>
      <c r="I22" s="7"/>
      <c r="J22" s="7"/>
    </row>
    <row r="23">
      <c r="A23" s="3" t="s">
        <v>189</v>
      </c>
      <c r="B23" s="3" t="s">
        <v>190</v>
      </c>
      <c r="C23" s="3" t="s">
        <v>13</v>
      </c>
      <c r="D23" s="3" t="s">
        <v>14</v>
      </c>
      <c r="E23" s="3" t="s">
        <v>15</v>
      </c>
      <c r="F23" s="3" t="s">
        <v>192</v>
      </c>
      <c r="G23" s="3" t="s">
        <v>17</v>
      </c>
      <c r="H23" s="3" t="s">
        <v>194</v>
      </c>
      <c r="I23" s="7"/>
      <c r="J23" s="7"/>
    </row>
    <row r="24">
      <c r="A24" s="3" t="s">
        <v>195</v>
      </c>
      <c r="B24" s="3" t="s">
        <v>196</v>
      </c>
      <c r="C24" s="3" t="s">
        <v>13</v>
      </c>
      <c r="D24" s="3" t="s">
        <v>14</v>
      </c>
      <c r="E24" s="3" t="s">
        <v>15</v>
      </c>
      <c r="F24" s="3" t="s">
        <v>197</v>
      </c>
      <c r="G24" s="3" t="s">
        <v>17</v>
      </c>
      <c r="H24" s="3" t="s">
        <v>198</v>
      </c>
      <c r="I24" s="7"/>
      <c r="J24" s="7"/>
    </row>
    <row r="25">
      <c r="A25" s="3" t="s">
        <v>199</v>
      </c>
      <c r="B25" s="3" t="s">
        <v>200</v>
      </c>
      <c r="C25" s="3" t="s">
        <v>13</v>
      </c>
      <c r="D25" s="3" t="s">
        <v>14</v>
      </c>
      <c r="E25" s="3" t="s">
        <v>15</v>
      </c>
      <c r="F25" s="3" t="s">
        <v>201</v>
      </c>
      <c r="G25" s="3" t="s">
        <v>17</v>
      </c>
      <c r="H25" s="3" t="s">
        <v>202</v>
      </c>
      <c r="I25" s="7"/>
      <c r="J25" s="7"/>
    </row>
    <row r="26">
      <c r="A26" s="3" t="s">
        <v>203</v>
      </c>
      <c r="B26" s="3" t="s">
        <v>204</v>
      </c>
      <c r="C26" s="3" t="s">
        <v>13</v>
      </c>
      <c r="D26" s="3" t="s">
        <v>14</v>
      </c>
      <c r="E26" s="3" t="s">
        <v>15</v>
      </c>
      <c r="F26" s="3" t="s">
        <v>205</v>
      </c>
      <c r="G26" s="3" t="s">
        <v>17</v>
      </c>
      <c r="H26" s="3" t="s">
        <v>206</v>
      </c>
      <c r="I26" s="7"/>
      <c r="J26" s="7"/>
    </row>
    <row r="27">
      <c r="A27" s="3" t="s">
        <v>207</v>
      </c>
      <c r="B27" s="3" t="s">
        <v>208</v>
      </c>
      <c r="C27" s="3" t="s">
        <v>13</v>
      </c>
      <c r="D27" s="3" t="s">
        <v>14</v>
      </c>
      <c r="E27" s="3" t="s">
        <v>15</v>
      </c>
      <c r="F27" s="3" t="s">
        <v>209</v>
      </c>
      <c r="G27" s="3" t="s">
        <v>17</v>
      </c>
      <c r="H27" s="3" t="s">
        <v>210</v>
      </c>
      <c r="I27" s="7"/>
      <c r="J27" s="7"/>
    </row>
    <row r="28">
      <c r="A28" s="3" t="s">
        <v>212</v>
      </c>
      <c r="B28" s="3" t="s">
        <v>213</v>
      </c>
      <c r="C28" s="3" t="s">
        <v>13</v>
      </c>
      <c r="D28" s="3" t="s">
        <v>214</v>
      </c>
      <c r="E28" s="3" t="s">
        <v>15</v>
      </c>
      <c r="F28" s="3" t="s">
        <v>216</v>
      </c>
      <c r="G28" s="3" t="s">
        <v>17</v>
      </c>
      <c r="H28" s="3" t="s">
        <v>217</v>
      </c>
      <c r="I28" s="7"/>
      <c r="J28" s="7"/>
    </row>
    <row r="29">
      <c r="A29" s="3" t="s">
        <v>219</v>
      </c>
      <c r="B29" s="3" t="s">
        <v>221</v>
      </c>
      <c r="C29" s="3" t="s">
        <v>13</v>
      </c>
      <c r="D29" s="3" t="s">
        <v>214</v>
      </c>
      <c r="E29" s="3" t="s">
        <v>15</v>
      </c>
      <c r="F29" s="3" t="s">
        <v>222</v>
      </c>
      <c r="G29" s="3" t="s">
        <v>17</v>
      </c>
      <c r="H29" s="3" t="s">
        <v>223</v>
      </c>
      <c r="I29" s="7"/>
      <c r="J29" s="7"/>
    </row>
    <row r="30">
      <c r="A30" s="3" t="s">
        <v>225</v>
      </c>
      <c r="B30" s="3" t="s">
        <v>226</v>
      </c>
      <c r="C30" s="3" t="s">
        <v>13</v>
      </c>
      <c r="D30" s="3" t="s">
        <v>214</v>
      </c>
      <c r="E30" s="3" t="s">
        <v>15</v>
      </c>
      <c r="F30" s="3" t="s">
        <v>227</v>
      </c>
      <c r="G30" s="3" t="s">
        <v>17</v>
      </c>
      <c r="H30" s="3" t="s">
        <v>228</v>
      </c>
      <c r="I30" s="7"/>
      <c r="J30" s="7"/>
    </row>
    <row r="31">
      <c r="A31" s="3" t="s">
        <v>229</v>
      </c>
      <c r="B31" s="3" t="s">
        <v>230</v>
      </c>
      <c r="C31" s="3" t="s">
        <v>13</v>
      </c>
      <c r="D31" s="3" t="s">
        <v>14</v>
      </c>
      <c r="E31" s="3" t="s">
        <v>15</v>
      </c>
      <c r="F31" s="3" t="s">
        <v>231</v>
      </c>
      <c r="G31" s="3" t="s">
        <v>17</v>
      </c>
      <c r="H31" s="3" t="s">
        <v>232</v>
      </c>
      <c r="I31" s="7"/>
      <c r="J31" s="7"/>
    </row>
    <row r="32">
      <c r="A32" s="3" t="s">
        <v>233</v>
      </c>
      <c r="B32" s="3" t="s">
        <v>234</v>
      </c>
      <c r="C32" s="3" t="s">
        <v>13</v>
      </c>
      <c r="D32" s="3" t="s">
        <v>14</v>
      </c>
      <c r="E32" s="3" t="s">
        <v>15</v>
      </c>
      <c r="F32" s="3" t="s">
        <v>235</v>
      </c>
      <c r="G32" s="3" t="s">
        <v>17</v>
      </c>
      <c r="H32" s="3" t="s">
        <v>236</v>
      </c>
      <c r="I32" s="7"/>
      <c r="J32" s="7"/>
    </row>
    <row r="33">
      <c r="A33" s="17" t="s">
        <v>237</v>
      </c>
      <c r="B33" s="17" t="s">
        <v>240</v>
      </c>
      <c r="C33" s="17" t="s">
        <v>13</v>
      </c>
      <c r="D33" s="17" t="s">
        <v>14</v>
      </c>
      <c r="E33" s="17" t="s">
        <v>15</v>
      </c>
      <c r="F33" s="17" t="s">
        <v>243</v>
      </c>
      <c r="G33" s="17" t="s">
        <v>245</v>
      </c>
      <c r="H33" s="17" t="s">
        <v>246</v>
      </c>
      <c r="I33" s="18"/>
      <c r="J33" s="18"/>
    </row>
    <row r="34">
      <c r="A34" s="17" t="s">
        <v>249</v>
      </c>
      <c r="B34" s="17" t="s">
        <v>251</v>
      </c>
      <c r="C34" s="17" t="s">
        <v>13</v>
      </c>
      <c r="D34" s="17" t="s">
        <v>14</v>
      </c>
      <c r="E34" s="17" t="s">
        <v>15</v>
      </c>
      <c r="F34" s="17" t="s">
        <v>192</v>
      </c>
      <c r="G34" s="17" t="s">
        <v>245</v>
      </c>
      <c r="H34" s="17" t="s">
        <v>252</v>
      </c>
      <c r="I34" s="18"/>
      <c r="J34" s="18"/>
    </row>
    <row r="35">
      <c r="A35" s="17" t="s">
        <v>253</v>
      </c>
      <c r="B35" s="17" t="s">
        <v>254</v>
      </c>
      <c r="C35" s="17" t="s">
        <v>13</v>
      </c>
      <c r="D35" s="17" t="s">
        <v>14</v>
      </c>
      <c r="E35" s="17" t="s">
        <v>15</v>
      </c>
      <c r="F35" s="17" t="s">
        <v>255</v>
      </c>
      <c r="G35" s="17" t="s">
        <v>245</v>
      </c>
      <c r="H35" s="17" t="s">
        <v>256</v>
      </c>
      <c r="I35" s="18"/>
      <c r="J35" s="18"/>
    </row>
    <row r="36">
      <c r="A36" s="17" t="s">
        <v>257</v>
      </c>
      <c r="B36" s="17" t="s">
        <v>258</v>
      </c>
      <c r="C36" s="17" t="s">
        <v>13</v>
      </c>
      <c r="D36" s="17" t="s">
        <v>14</v>
      </c>
      <c r="E36" s="17" t="s">
        <v>15</v>
      </c>
      <c r="F36" s="17" t="s">
        <v>259</v>
      </c>
      <c r="G36" s="17" t="s">
        <v>245</v>
      </c>
      <c r="H36" s="17" t="s">
        <v>260</v>
      </c>
      <c r="I36" s="18"/>
      <c r="J36" s="18"/>
    </row>
    <row r="37">
      <c r="A37" s="17" t="s">
        <v>261</v>
      </c>
      <c r="B37" s="17" t="s">
        <v>262</v>
      </c>
      <c r="C37" s="17" t="s">
        <v>13</v>
      </c>
      <c r="D37" s="17" t="s">
        <v>14</v>
      </c>
      <c r="E37" s="17" t="s">
        <v>15</v>
      </c>
      <c r="F37" s="17" t="s">
        <v>263</v>
      </c>
      <c r="G37" s="17" t="s">
        <v>245</v>
      </c>
      <c r="H37" s="17" t="s">
        <v>264</v>
      </c>
      <c r="I37" s="18"/>
      <c r="J37" s="18"/>
    </row>
    <row r="38">
      <c r="A38" s="17" t="s">
        <v>265</v>
      </c>
      <c r="B38" s="17" t="s">
        <v>266</v>
      </c>
      <c r="C38" s="17" t="s">
        <v>13</v>
      </c>
      <c r="D38" s="17" t="s">
        <v>214</v>
      </c>
      <c r="E38" s="17" t="s">
        <v>15</v>
      </c>
      <c r="F38" s="17" t="s">
        <v>267</v>
      </c>
      <c r="G38" s="17" t="s">
        <v>245</v>
      </c>
      <c r="H38" s="17" t="s">
        <v>268</v>
      </c>
      <c r="I38" s="18"/>
      <c r="J38" s="18"/>
    </row>
    <row r="39">
      <c r="A39" s="17" t="s">
        <v>269</v>
      </c>
      <c r="B39" s="17" t="s">
        <v>270</v>
      </c>
      <c r="C39" s="17" t="s">
        <v>13</v>
      </c>
      <c r="D39" s="17" t="s">
        <v>14</v>
      </c>
      <c r="E39" s="17" t="s">
        <v>15</v>
      </c>
      <c r="F39" s="17" t="s">
        <v>271</v>
      </c>
      <c r="G39" s="17" t="s">
        <v>245</v>
      </c>
      <c r="H39" s="17" t="s">
        <v>272</v>
      </c>
      <c r="I39" s="18"/>
      <c r="J39" s="18"/>
    </row>
    <row r="40">
      <c r="A40" s="17" t="s">
        <v>274</v>
      </c>
      <c r="B40" s="17" t="s">
        <v>275</v>
      </c>
      <c r="C40" s="17" t="s">
        <v>13</v>
      </c>
      <c r="D40" s="17" t="s">
        <v>14</v>
      </c>
      <c r="E40" s="17" t="s">
        <v>15</v>
      </c>
      <c r="F40" s="17" t="s">
        <v>276</v>
      </c>
      <c r="G40" s="17" t="s">
        <v>245</v>
      </c>
      <c r="H40" s="17" t="s">
        <v>277</v>
      </c>
      <c r="I40" s="18"/>
      <c r="J40" s="18"/>
    </row>
    <row r="41">
      <c r="A41" s="17" t="s">
        <v>279</v>
      </c>
      <c r="B41" s="17" t="s">
        <v>280</v>
      </c>
      <c r="C41" s="17" t="s">
        <v>13</v>
      </c>
      <c r="D41" s="17" t="s">
        <v>14</v>
      </c>
      <c r="E41" s="17" t="s">
        <v>15</v>
      </c>
      <c r="F41" s="17" t="s">
        <v>281</v>
      </c>
      <c r="G41" s="17" t="s">
        <v>245</v>
      </c>
      <c r="H41" s="17" t="s">
        <v>282</v>
      </c>
      <c r="I41" s="18"/>
      <c r="J41" s="18"/>
    </row>
    <row r="42">
      <c r="A42" s="17" t="s">
        <v>284</v>
      </c>
      <c r="B42" s="17" t="s">
        <v>285</v>
      </c>
      <c r="C42" s="17" t="s">
        <v>13</v>
      </c>
      <c r="D42" s="17" t="s">
        <v>14</v>
      </c>
      <c r="E42" s="17" t="s">
        <v>15</v>
      </c>
      <c r="F42" s="17" t="s">
        <v>286</v>
      </c>
      <c r="G42" s="17" t="s">
        <v>245</v>
      </c>
      <c r="H42" s="17" t="s">
        <v>287</v>
      </c>
      <c r="I42" s="18"/>
      <c r="J42" s="18"/>
    </row>
    <row r="43">
      <c r="A43" s="17" t="s">
        <v>288</v>
      </c>
      <c r="B43" s="17" t="s">
        <v>289</v>
      </c>
      <c r="C43" s="17" t="s">
        <v>13</v>
      </c>
      <c r="D43" s="17" t="s">
        <v>14</v>
      </c>
      <c r="E43" s="17" t="s">
        <v>15</v>
      </c>
      <c r="F43" s="17" t="s">
        <v>290</v>
      </c>
      <c r="G43" s="17" t="s">
        <v>245</v>
      </c>
      <c r="H43" s="17" t="s">
        <v>291</v>
      </c>
      <c r="I43" s="18"/>
      <c r="J43" s="18"/>
    </row>
    <row r="44">
      <c r="A44" s="17" t="s">
        <v>292</v>
      </c>
      <c r="B44" s="17" t="s">
        <v>293</v>
      </c>
      <c r="C44" s="17" t="s">
        <v>13</v>
      </c>
      <c r="D44" s="17" t="s">
        <v>14</v>
      </c>
      <c r="E44" s="17" t="s">
        <v>15</v>
      </c>
      <c r="F44" s="17" t="s">
        <v>294</v>
      </c>
      <c r="G44" s="17" t="s">
        <v>245</v>
      </c>
      <c r="H44" s="17" t="s">
        <v>295</v>
      </c>
      <c r="I44" s="18"/>
      <c r="J44" s="18"/>
    </row>
    <row r="45">
      <c r="A45" s="17" t="s">
        <v>296</v>
      </c>
      <c r="B45" s="17" t="s">
        <v>297</v>
      </c>
      <c r="C45" s="17" t="s">
        <v>13</v>
      </c>
      <c r="D45" s="17" t="s">
        <v>14</v>
      </c>
      <c r="E45" s="17" t="s">
        <v>15</v>
      </c>
      <c r="F45" s="17" t="s">
        <v>298</v>
      </c>
      <c r="G45" s="17" t="s">
        <v>245</v>
      </c>
      <c r="H45" s="17" t="s">
        <v>299</v>
      </c>
      <c r="I45" s="18"/>
      <c r="J45" s="18"/>
    </row>
    <row r="46">
      <c r="A46" s="17" t="s">
        <v>300</v>
      </c>
      <c r="B46" s="17" t="s">
        <v>301</v>
      </c>
      <c r="C46" s="17" t="s">
        <v>13</v>
      </c>
      <c r="D46" s="17" t="s">
        <v>14</v>
      </c>
      <c r="E46" s="17" t="s">
        <v>15</v>
      </c>
      <c r="F46" s="17" t="s">
        <v>302</v>
      </c>
      <c r="G46" s="17" t="s">
        <v>245</v>
      </c>
      <c r="H46" s="17" t="s">
        <v>303</v>
      </c>
      <c r="I46" s="18"/>
      <c r="J46" s="18"/>
    </row>
    <row r="47">
      <c r="A47" s="17" t="s">
        <v>304</v>
      </c>
      <c r="B47" s="17" t="s">
        <v>305</v>
      </c>
      <c r="C47" s="17" t="s">
        <v>13</v>
      </c>
      <c r="D47" s="17" t="s">
        <v>14</v>
      </c>
      <c r="E47" s="17" t="s">
        <v>15</v>
      </c>
      <c r="F47" s="17" t="s">
        <v>306</v>
      </c>
      <c r="G47" s="17" t="s">
        <v>245</v>
      </c>
      <c r="H47" s="17" t="s">
        <v>307</v>
      </c>
      <c r="I47" s="18"/>
      <c r="J47" s="18"/>
    </row>
    <row r="48">
      <c r="A48" s="17" t="s">
        <v>308</v>
      </c>
      <c r="B48" s="17" t="s">
        <v>309</v>
      </c>
      <c r="C48" s="17" t="s">
        <v>13</v>
      </c>
      <c r="D48" s="17" t="s">
        <v>14</v>
      </c>
      <c r="E48" s="17" t="s">
        <v>15</v>
      </c>
      <c r="F48" s="17" t="s">
        <v>310</v>
      </c>
      <c r="G48" s="17" t="s">
        <v>245</v>
      </c>
      <c r="H48" s="19" t="s">
        <v>311</v>
      </c>
      <c r="I48" s="18"/>
      <c r="J48" s="18"/>
    </row>
    <row r="49">
      <c r="A49" s="3" t="s">
        <v>312</v>
      </c>
      <c r="B49" s="3" t="s">
        <v>313</v>
      </c>
      <c r="C49" s="3" t="s">
        <v>13</v>
      </c>
      <c r="D49" s="3" t="s">
        <v>14</v>
      </c>
      <c r="E49" s="3" t="s">
        <v>15</v>
      </c>
      <c r="F49" s="3" t="s">
        <v>44</v>
      </c>
      <c r="G49" s="3" t="s">
        <v>17</v>
      </c>
      <c r="H49" s="3" t="s">
        <v>47</v>
      </c>
      <c r="I49" s="7"/>
      <c r="J49" s="7"/>
    </row>
    <row r="50">
      <c r="A50" s="3" t="s">
        <v>315</v>
      </c>
      <c r="B50" s="3" t="s">
        <v>316</v>
      </c>
      <c r="C50" s="3" t="s">
        <v>13</v>
      </c>
      <c r="D50" s="3" t="s">
        <v>14</v>
      </c>
      <c r="E50" s="3" t="s">
        <v>15</v>
      </c>
      <c r="F50" s="3" t="s">
        <v>32</v>
      </c>
      <c r="G50" s="3" t="s">
        <v>17</v>
      </c>
      <c r="H50" s="3" t="s">
        <v>317</v>
      </c>
      <c r="I50" s="7"/>
      <c r="J50" s="7"/>
    </row>
    <row r="51">
      <c r="A51" s="3" t="s">
        <v>319</v>
      </c>
      <c r="B51" s="3" t="s">
        <v>320</v>
      </c>
      <c r="C51" s="3" t="s">
        <v>13</v>
      </c>
      <c r="D51" s="3" t="s">
        <v>14</v>
      </c>
      <c r="E51" s="3" t="s">
        <v>15</v>
      </c>
      <c r="F51" s="3" t="s">
        <v>32</v>
      </c>
      <c r="G51" s="3" t="s">
        <v>17</v>
      </c>
      <c r="H51" s="3" t="s">
        <v>321</v>
      </c>
      <c r="I51" s="7"/>
      <c r="J51" s="7"/>
    </row>
    <row r="52">
      <c r="A52" s="3" t="s">
        <v>322</v>
      </c>
      <c r="B52" s="3" t="s">
        <v>323</v>
      </c>
      <c r="C52" s="3" t="s">
        <v>13</v>
      </c>
      <c r="D52" s="3" t="s">
        <v>14</v>
      </c>
      <c r="E52" s="3" t="s">
        <v>15</v>
      </c>
      <c r="F52" s="3" t="s">
        <v>32</v>
      </c>
      <c r="G52" s="3" t="s">
        <v>17</v>
      </c>
      <c r="H52" s="3" t="s">
        <v>324</v>
      </c>
      <c r="I52" s="7"/>
      <c r="J52" s="7"/>
    </row>
    <row r="53">
      <c r="A53" s="3" t="s">
        <v>326</v>
      </c>
      <c r="B53" s="3" t="s">
        <v>327</v>
      </c>
      <c r="C53" s="3" t="s">
        <v>13</v>
      </c>
      <c r="D53" s="3" t="s">
        <v>14</v>
      </c>
      <c r="E53" s="3" t="s">
        <v>15</v>
      </c>
      <c r="F53" s="3" t="s">
        <v>32</v>
      </c>
      <c r="G53" s="3" t="s">
        <v>17</v>
      </c>
      <c r="H53" s="3" t="s">
        <v>328</v>
      </c>
      <c r="I53" s="7"/>
      <c r="J53" s="7"/>
    </row>
    <row r="54">
      <c r="A54" s="3" t="s">
        <v>330</v>
      </c>
      <c r="B54" s="3" t="s">
        <v>331</v>
      </c>
      <c r="C54" s="3" t="s">
        <v>13</v>
      </c>
      <c r="D54" s="3" t="s">
        <v>14</v>
      </c>
      <c r="E54" s="3" t="s">
        <v>15</v>
      </c>
      <c r="F54" s="3" t="s">
        <v>32</v>
      </c>
      <c r="G54" s="3" t="s">
        <v>17</v>
      </c>
      <c r="H54" s="3" t="s">
        <v>332</v>
      </c>
      <c r="I54" s="7"/>
      <c r="J54" s="7"/>
    </row>
    <row r="55">
      <c r="A55" s="3" t="s">
        <v>333</v>
      </c>
      <c r="B55" s="3" t="s">
        <v>334</v>
      </c>
      <c r="C55" s="3" t="s">
        <v>13</v>
      </c>
      <c r="D55" s="3" t="s">
        <v>14</v>
      </c>
      <c r="E55" s="3" t="s">
        <v>15</v>
      </c>
      <c r="F55" s="3" t="s">
        <v>32</v>
      </c>
      <c r="G55" s="3" t="s">
        <v>17</v>
      </c>
      <c r="H55" s="3" t="s">
        <v>335</v>
      </c>
      <c r="I55" s="7"/>
      <c r="J55" s="7"/>
    </row>
    <row r="56">
      <c r="A56" s="3" t="s">
        <v>336</v>
      </c>
      <c r="B56" s="20" t="s">
        <v>337</v>
      </c>
      <c r="C56" s="20" t="s">
        <v>13</v>
      </c>
      <c r="D56" s="20" t="s">
        <v>14</v>
      </c>
      <c r="E56" s="20" t="s">
        <v>338</v>
      </c>
      <c r="F56" s="20" t="s">
        <v>339</v>
      </c>
      <c r="G56" s="20" t="s">
        <v>245</v>
      </c>
      <c r="H56" s="20" t="s">
        <v>340</v>
      </c>
      <c r="I56" s="21" t="s">
        <v>341</v>
      </c>
      <c r="J56" s="22"/>
    </row>
    <row r="57">
      <c r="A57" s="3" t="s">
        <v>343</v>
      </c>
      <c r="B57" s="20" t="s">
        <v>344</v>
      </c>
      <c r="C57" s="20" t="s">
        <v>13</v>
      </c>
      <c r="D57" s="20" t="s">
        <v>14</v>
      </c>
      <c r="E57" s="20" t="s">
        <v>338</v>
      </c>
      <c r="F57" s="20" t="s">
        <v>347</v>
      </c>
      <c r="G57" s="20" t="s">
        <v>245</v>
      </c>
      <c r="H57" s="20" t="s">
        <v>348</v>
      </c>
      <c r="I57" s="21" t="s">
        <v>350</v>
      </c>
      <c r="J57" s="22"/>
    </row>
    <row r="58">
      <c r="A58" s="3" t="s">
        <v>351</v>
      </c>
      <c r="B58" s="20" t="s">
        <v>352</v>
      </c>
      <c r="C58" s="20" t="s">
        <v>13</v>
      </c>
      <c r="D58" s="20" t="s">
        <v>14</v>
      </c>
      <c r="E58" s="20" t="s">
        <v>338</v>
      </c>
      <c r="F58" s="20" t="s">
        <v>353</v>
      </c>
      <c r="G58" s="20" t="s">
        <v>245</v>
      </c>
      <c r="H58" s="20" t="s">
        <v>354</v>
      </c>
      <c r="I58" s="21" t="s">
        <v>355</v>
      </c>
      <c r="J58" s="22"/>
    </row>
    <row r="59">
      <c r="A59" s="2" t="s">
        <v>357</v>
      </c>
    </row>
    <row r="60">
      <c r="A60" s="3" t="s">
        <v>358</v>
      </c>
      <c r="B60" s="3" t="s">
        <v>360</v>
      </c>
      <c r="C60" s="3" t="s">
        <v>362</v>
      </c>
      <c r="D60" s="3" t="s">
        <v>14</v>
      </c>
      <c r="E60" s="3" t="s">
        <v>15</v>
      </c>
      <c r="F60" s="3" t="s">
        <v>364</v>
      </c>
      <c r="G60" s="3" t="s">
        <v>17</v>
      </c>
      <c r="H60" s="3" t="s">
        <v>365</v>
      </c>
      <c r="I60" s="7"/>
      <c r="J60" s="7"/>
    </row>
    <row r="61">
      <c r="A61" s="3" t="s">
        <v>368</v>
      </c>
      <c r="B61" s="3" t="s">
        <v>369</v>
      </c>
      <c r="C61" s="3" t="s">
        <v>362</v>
      </c>
      <c r="D61" s="3" t="s">
        <v>370</v>
      </c>
      <c r="E61" s="3" t="s">
        <v>15</v>
      </c>
      <c r="F61" s="3" t="s">
        <v>372</v>
      </c>
      <c r="G61" s="3" t="s">
        <v>17</v>
      </c>
      <c r="H61" s="3" t="s">
        <v>373</v>
      </c>
      <c r="I61" s="7"/>
      <c r="J61" s="7"/>
    </row>
    <row r="62">
      <c r="A62" s="3" t="s">
        <v>376</v>
      </c>
      <c r="B62" s="3" t="s">
        <v>377</v>
      </c>
      <c r="C62" s="3" t="s">
        <v>362</v>
      </c>
      <c r="D62" s="3" t="s">
        <v>214</v>
      </c>
      <c r="E62" s="3" t="s">
        <v>15</v>
      </c>
      <c r="F62" s="3" t="s">
        <v>378</v>
      </c>
      <c r="G62" s="3" t="s">
        <v>17</v>
      </c>
      <c r="H62" s="3" t="s">
        <v>380</v>
      </c>
      <c r="I62" s="7"/>
      <c r="J62" s="7"/>
    </row>
    <row r="63">
      <c r="A63" s="3" t="s">
        <v>381</v>
      </c>
      <c r="B63" s="3" t="s">
        <v>382</v>
      </c>
      <c r="C63" s="3" t="s">
        <v>362</v>
      </c>
      <c r="D63" s="3" t="s">
        <v>14</v>
      </c>
      <c r="E63" s="3" t="s">
        <v>15</v>
      </c>
      <c r="F63" s="3" t="s">
        <v>385</v>
      </c>
      <c r="G63" s="3" t="s">
        <v>17</v>
      </c>
      <c r="H63" s="3" t="s">
        <v>386</v>
      </c>
      <c r="I63" s="7"/>
      <c r="J63" s="7"/>
    </row>
    <row r="64">
      <c r="A64" s="3" t="s">
        <v>389</v>
      </c>
      <c r="B64" s="3" t="s">
        <v>390</v>
      </c>
      <c r="C64" s="3" t="s">
        <v>362</v>
      </c>
      <c r="D64" s="3" t="s">
        <v>14</v>
      </c>
      <c r="E64" s="3" t="s">
        <v>15</v>
      </c>
      <c r="F64" s="3" t="s">
        <v>392</v>
      </c>
      <c r="G64" s="3" t="s">
        <v>17</v>
      </c>
      <c r="H64" s="3" t="s">
        <v>393</v>
      </c>
      <c r="I64" s="7"/>
      <c r="J64" s="7"/>
    </row>
    <row r="65">
      <c r="A65" s="3" t="s">
        <v>396</v>
      </c>
      <c r="B65" s="3" t="s">
        <v>397</v>
      </c>
      <c r="C65" s="3" t="s">
        <v>362</v>
      </c>
      <c r="D65" s="3" t="s">
        <v>14</v>
      </c>
      <c r="E65" s="3" t="s">
        <v>15</v>
      </c>
      <c r="F65" s="3" t="s">
        <v>398</v>
      </c>
      <c r="G65" s="3" t="s">
        <v>17</v>
      </c>
      <c r="H65" s="3" t="s">
        <v>400</v>
      </c>
      <c r="I65" s="7"/>
      <c r="J65" s="7"/>
    </row>
    <row r="66">
      <c r="A66" s="3" t="s">
        <v>402</v>
      </c>
      <c r="B66" s="3" t="s">
        <v>403</v>
      </c>
      <c r="C66" s="3" t="s">
        <v>362</v>
      </c>
      <c r="D66" s="3" t="s">
        <v>14</v>
      </c>
      <c r="E66" s="3" t="s">
        <v>15</v>
      </c>
      <c r="F66" s="3" t="s">
        <v>407</v>
      </c>
      <c r="G66" s="3" t="s">
        <v>17</v>
      </c>
      <c r="H66" s="3" t="s">
        <v>408</v>
      </c>
      <c r="I66" s="7"/>
      <c r="J66" s="7"/>
    </row>
    <row r="67">
      <c r="A67" s="3" t="s">
        <v>410</v>
      </c>
      <c r="B67" s="3" t="s">
        <v>411</v>
      </c>
      <c r="C67" s="3" t="s">
        <v>362</v>
      </c>
      <c r="D67" s="3" t="s">
        <v>214</v>
      </c>
      <c r="E67" s="3" t="s">
        <v>15</v>
      </c>
      <c r="F67" s="3" t="s">
        <v>413</v>
      </c>
      <c r="G67" s="3" t="s">
        <v>17</v>
      </c>
      <c r="H67" s="3" t="s">
        <v>417</v>
      </c>
      <c r="I67" s="7"/>
      <c r="J67" s="7"/>
    </row>
    <row r="68">
      <c r="A68" s="3" t="s">
        <v>421</v>
      </c>
      <c r="B68" s="3" t="s">
        <v>422</v>
      </c>
      <c r="C68" s="3" t="s">
        <v>362</v>
      </c>
      <c r="D68" s="3" t="s">
        <v>214</v>
      </c>
      <c r="E68" s="3" t="s">
        <v>15</v>
      </c>
      <c r="F68" s="3" t="s">
        <v>426</v>
      </c>
      <c r="G68" s="3" t="s">
        <v>17</v>
      </c>
      <c r="H68" s="3" t="s">
        <v>429</v>
      </c>
      <c r="I68" s="7"/>
      <c r="J68" s="7"/>
    </row>
    <row r="69">
      <c r="A69" s="3" t="s">
        <v>431</v>
      </c>
      <c r="B69" s="3" t="s">
        <v>433</v>
      </c>
      <c r="C69" s="3" t="s">
        <v>362</v>
      </c>
      <c r="D69" s="3" t="s">
        <v>14</v>
      </c>
      <c r="E69" s="3" t="s">
        <v>15</v>
      </c>
      <c r="F69" s="3" t="s">
        <v>436</v>
      </c>
      <c r="G69" s="3" t="s">
        <v>17</v>
      </c>
      <c r="H69" s="3" t="s">
        <v>437</v>
      </c>
      <c r="I69" s="7"/>
      <c r="J69" s="7"/>
    </row>
    <row r="70">
      <c r="A70" s="3" t="s">
        <v>405</v>
      </c>
      <c r="B70" s="3" t="s">
        <v>406</v>
      </c>
      <c r="C70" s="3" t="s">
        <v>362</v>
      </c>
      <c r="D70" s="3" t="s">
        <v>14</v>
      </c>
      <c r="E70" s="3" t="s">
        <v>15</v>
      </c>
      <c r="F70" s="3" t="s">
        <v>443</v>
      </c>
      <c r="G70" s="3" t="s">
        <v>17</v>
      </c>
      <c r="H70" s="3" t="s">
        <v>444</v>
      </c>
      <c r="I70" s="7"/>
      <c r="J70" s="7"/>
    </row>
    <row r="71">
      <c r="A71" s="3" t="s">
        <v>445</v>
      </c>
      <c r="B71" s="3" t="s">
        <v>446</v>
      </c>
      <c r="C71" s="3" t="s">
        <v>362</v>
      </c>
      <c r="D71" s="3" t="s">
        <v>14</v>
      </c>
      <c r="E71" s="3" t="s">
        <v>15</v>
      </c>
      <c r="F71" s="3" t="s">
        <v>448</v>
      </c>
      <c r="G71" s="3" t="s">
        <v>17</v>
      </c>
      <c r="H71" s="3" t="s">
        <v>450</v>
      </c>
      <c r="I71" s="7"/>
      <c r="J71" s="7"/>
    </row>
    <row r="72">
      <c r="A72" s="3" t="s">
        <v>452</v>
      </c>
      <c r="B72" s="3" t="s">
        <v>453</v>
      </c>
      <c r="C72" s="3" t="s">
        <v>362</v>
      </c>
      <c r="D72" s="3" t="s">
        <v>14</v>
      </c>
      <c r="E72" s="3" t="s">
        <v>15</v>
      </c>
      <c r="F72" s="3" t="s">
        <v>455</v>
      </c>
      <c r="G72" s="3" t="s">
        <v>17</v>
      </c>
      <c r="H72" s="3" t="s">
        <v>456</v>
      </c>
      <c r="I72" s="7"/>
      <c r="J72" s="7"/>
    </row>
    <row r="73">
      <c r="A73" s="3" t="s">
        <v>459</v>
      </c>
      <c r="B73" s="3" t="s">
        <v>460</v>
      </c>
      <c r="C73" s="3" t="s">
        <v>362</v>
      </c>
      <c r="D73" s="3" t="s">
        <v>214</v>
      </c>
      <c r="E73" s="3" t="s">
        <v>15</v>
      </c>
      <c r="F73" s="3" t="s">
        <v>464</v>
      </c>
      <c r="G73" s="3" t="s">
        <v>17</v>
      </c>
      <c r="H73" s="3" t="s">
        <v>466</v>
      </c>
      <c r="I73" s="7"/>
      <c r="J73" s="7"/>
    </row>
    <row r="74">
      <c r="A74" s="3" t="s">
        <v>468</v>
      </c>
      <c r="B74" s="3" t="s">
        <v>469</v>
      </c>
      <c r="C74" s="3" t="s">
        <v>362</v>
      </c>
      <c r="D74" s="3" t="s">
        <v>14</v>
      </c>
      <c r="E74" s="3" t="s">
        <v>15</v>
      </c>
      <c r="F74" s="3" t="s">
        <v>472</v>
      </c>
      <c r="G74" s="3" t="s">
        <v>17</v>
      </c>
      <c r="H74" s="3" t="s">
        <v>473</v>
      </c>
      <c r="I74" s="7"/>
      <c r="J74" s="7"/>
    </row>
    <row r="75">
      <c r="A75" s="3" t="s">
        <v>476</v>
      </c>
      <c r="B75" s="3" t="s">
        <v>477</v>
      </c>
      <c r="C75" s="3" t="s">
        <v>362</v>
      </c>
      <c r="D75" s="3" t="s">
        <v>14</v>
      </c>
      <c r="E75" s="3" t="s">
        <v>15</v>
      </c>
      <c r="F75" s="3" t="s">
        <v>478</v>
      </c>
      <c r="G75" s="3" t="s">
        <v>17</v>
      </c>
      <c r="H75" s="3" t="s">
        <v>479</v>
      </c>
      <c r="I75" s="7"/>
      <c r="J75" s="7"/>
    </row>
    <row r="76">
      <c r="A76" s="3" t="s">
        <v>482</v>
      </c>
      <c r="B76" s="3" t="s">
        <v>484</v>
      </c>
      <c r="C76" s="3" t="s">
        <v>362</v>
      </c>
      <c r="D76" s="3" t="s">
        <v>14</v>
      </c>
      <c r="E76" s="3" t="s">
        <v>15</v>
      </c>
      <c r="F76" s="3" t="s">
        <v>486</v>
      </c>
      <c r="G76" s="3" t="s">
        <v>17</v>
      </c>
      <c r="H76" s="3" t="s">
        <v>487</v>
      </c>
      <c r="I76" s="7"/>
      <c r="J76" s="7"/>
    </row>
    <row r="77">
      <c r="A77" s="3" t="s">
        <v>489</v>
      </c>
      <c r="B77" s="3" t="s">
        <v>490</v>
      </c>
      <c r="C77" s="3" t="s">
        <v>362</v>
      </c>
      <c r="D77" s="3" t="s">
        <v>14</v>
      </c>
      <c r="E77" s="3" t="s">
        <v>15</v>
      </c>
      <c r="F77" s="3" t="s">
        <v>491</v>
      </c>
      <c r="G77" s="3" t="s">
        <v>17</v>
      </c>
      <c r="H77" s="3" t="s">
        <v>493</v>
      </c>
      <c r="I77" s="7"/>
      <c r="J77" s="7"/>
    </row>
    <row r="78">
      <c r="A78" s="3" t="s">
        <v>496</v>
      </c>
      <c r="B78" s="3" t="s">
        <v>497</v>
      </c>
      <c r="C78" s="3" t="s">
        <v>362</v>
      </c>
      <c r="D78" s="3" t="s">
        <v>14</v>
      </c>
      <c r="E78" s="3" t="s">
        <v>15</v>
      </c>
      <c r="F78" s="3" t="s">
        <v>500</v>
      </c>
      <c r="G78" s="3" t="s">
        <v>17</v>
      </c>
      <c r="H78" s="3" t="s">
        <v>502</v>
      </c>
      <c r="I78" s="7"/>
      <c r="J78" s="7"/>
    </row>
    <row r="79">
      <c r="A79" s="3" t="s">
        <v>505</v>
      </c>
      <c r="B79" s="3" t="s">
        <v>506</v>
      </c>
      <c r="C79" s="3" t="s">
        <v>362</v>
      </c>
      <c r="D79" s="3" t="s">
        <v>14</v>
      </c>
      <c r="E79" s="3" t="s">
        <v>15</v>
      </c>
      <c r="F79" s="3" t="s">
        <v>509</v>
      </c>
      <c r="G79" s="3" t="s">
        <v>17</v>
      </c>
      <c r="H79" s="3" t="s">
        <v>512</v>
      </c>
      <c r="I79" s="7"/>
      <c r="J79" s="7"/>
    </row>
    <row r="80">
      <c r="A80" s="17" t="s">
        <v>515</v>
      </c>
      <c r="B80" s="17" t="s">
        <v>517</v>
      </c>
      <c r="C80" s="17" t="s">
        <v>362</v>
      </c>
      <c r="D80" s="17" t="s">
        <v>14</v>
      </c>
      <c r="E80" s="17" t="s">
        <v>15</v>
      </c>
      <c r="F80" s="17" t="s">
        <v>520</v>
      </c>
      <c r="G80" s="17" t="s">
        <v>245</v>
      </c>
      <c r="H80" s="17" t="s">
        <v>521</v>
      </c>
      <c r="I80" s="18"/>
      <c r="J80" s="18"/>
    </row>
    <row r="81">
      <c r="A81" s="17" t="s">
        <v>524</v>
      </c>
      <c r="B81" s="17" t="s">
        <v>525</v>
      </c>
      <c r="C81" s="17" t="s">
        <v>362</v>
      </c>
      <c r="D81" s="17" t="s">
        <v>14</v>
      </c>
      <c r="E81" s="17" t="s">
        <v>15</v>
      </c>
      <c r="F81" s="17" t="s">
        <v>527</v>
      </c>
      <c r="G81" s="17" t="s">
        <v>245</v>
      </c>
      <c r="H81" s="17" t="s">
        <v>528</v>
      </c>
      <c r="I81" s="18"/>
      <c r="J81" s="18"/>
    </row>
    <row r="82">
      <c r="A82" s="17" t="s">
        <v>532</v>
      </c>
      <c r="B82" s="17" t="s">
        <v>534</v>
      </c>
      <c r="C82" s="17" t="s">
        <v>362</v>
      </c>
      <c r="D82" s="17" t="s">
        <v>14</v>
      </c>
      <c r="E82" s="17" t="s">
        <v>15</v>
      </c>
      <c r="F82" s="17" t="s">
        <v>537</v>
      </c>
      <c r="G82" s="17" t="s">
        <v>245</v>
      </c>
      <c r="H82" s="17" t="s">
        <v>541</v>
      </c>
      <c r="I82" s="18"/>
      <c r="J82" s="18"/>
    </row>
    <row r="83">
      <c r="A83" s="17" t="s">
        <v>545</v>
      </c>
      <c r="B83" s="17" t="s">
        <v>546</v>
      </c>
      <c r="C83" s="17" t="s">
        <v>362</v>
      </c>
      <c r="D83" s="17" t="s">
        <v>214</v>
      </c>
      <c r="E83" s="17" t="s">
        <v>15</v>
      </c>
      <c r="F83" s="17" t="s">
        <v>551</v>
      </c>
      <c r="G83" s="17" t="s">
        <v>245</v>
      </c>
      <c r="H83" s="17" t="s">
        <v>552</v>
      </c>
      <c r="I83" s="18"/>
      <c r="J83" s="18"/>
    </row>
    <row r="84">
      <c r="A84" s="17" t="s">
        <v>558</v>
      </c>
      <c r="B84" s="17" t="s">
        <v>559</v>
      </c>
      <c r="C84" s="17" t="s">
        <v>362</v>
      </c>
      <c r="D84" s="17" t="s">
        <v>214</v>
      </c>
      <c r="E84" s="17" t="s">
        <v>15</v>
      </c>
      <c r="F84" s="17" t="s">
        <v>564</v>
      </c>
      <c r="G84" s="17" t="s">
        <v>245</v>
      </c>
      <c r="H84" s="17" t="s">
        <v>565</v>
      </c>
      <c r="I84" s="18"/>
      <c r="J84" s="18"/>
    </row>
    <row r="85">
      <c r="A85" s="17" t="s">
        <v>569</v>
      </c>
      <c r="B85" s="17" t="s">
        <v>571</v>
      </c>
      <c r="C85" s="17" t="s">
        <v>362</v>
      </c>
      <c r="D85" s="17" t="s">
        <v>14</v>
      </c>
      <c r="E85" s="17" t="s">
        <v>15</v>
      </c>
      <c r="F85" s="17" t="s">
        <v>576</v>
      </c>
      <c r="G85" s="17" t="s">
        <v>245</v>
      </c>
      <c r="H85" s="17" t="s">
        <v>579</v>
      </c>
      <c r="I85" s="18"/>
      <c r="J85" s="18"/>
    </row>
    <row r="86">
      <c r="A86" s="17" t="s">
        <v>584</v>
      </c>
      <c r="B86" s="17" t="s">
        <v>585</v>
      </c>
      <c r="C86" s="17" t="s">
        <v>362</v>
      </c>
      <c r="D86" s="17" t="s">
        <v>14</v>
      </c>
      <c r="E86" s="17" t="s">
        <v>15</v>
      </c>
      <c r="F86" s="17" t="s">
        <v>591</v>
      </c>
      <c r="G86" s="17" t="s">
        <v>245</v>
      </c>
      <c r="H86" s="17" t="s">
        <v>593</v>
      </c>
      <c r="I86" s="18"/>
      <c r="J86" s="18"/>
    </row>
    <row r="87">
      <c r="A87" s="17" t="s">
        <v>600</v>
      </c>
      <c r="B87" s="17" t="s">
        <v>601</v>
      </c>
      <c r="C87" s="17" t="s">
        <v>362</v>
      </c>
      <c r="D87" s="17" t="s">
        <v>214</v>
      </c>
      <c r="E87" s="17" t="s">
        <v>15</v>
      </c>
      <c r="F87" s="17" t="s">
        <v>607</v>
      </c>
      <c r="G87" s="17" t="s">
        <v>245</v>
      </c>
      <c r="H87" s="17" t="s">
        <v>612</v>
      </c>
      <c r="I87" s="18"/>
      <c r="J87" s="18"/>
    </row>
    <row r="88">
      <c r="A88" s="17" t="s">
        <v>615</v>
      </c>
      <c r="B88" s="17" t="s">
        <v>617</v>
      </c>
      <c r="C88" s="17" t="s">
        <v>362</v>
      </c>
      <c r="D88" s="17" t="s">
        <v>14</v>
      </c>
      <c r="E88" s="17" t="s">
        <v>15</v>
      </c>
      <c r="F88" s="17" t="s">
        <v>623</v>
      </c>
      <c r="G88" s="17" t="s">
        <v>245</v>
      </c>
      <c r="H88" s="17" t="s">
        <v>625</v>
      </c>
      <c r="I88" s="18"/>
      <c r="J88" s="18"/>
    </row>
    <row r="89">
      <c r="A89" s="17" t="s">
        <v>634</v>
      </c>
      <c r="B89" s="17" t="s">
        <v>635</v>
      </c>
      <c r="C89" s="17" t="s">
        <v>362</v>
      </c>
      <c r="D89" s="17" t="s">
        <v>14</v>
      </c>
      <c r="E89" s="17" t="s">
        <v>15</v>
      </c>
      <c r="F89" s="17" t="s">
        <v>643</v>
      </c>
      <c r="G89" s="17" t="s">
        <v>245</v>
      </c>
      <c r="H89" s="17" t="s">
        <v>644</v>
      </c>
      <c r="I89" s="18"/>
      <c r="J89" s="18"/>
    </row>
    <row r="90">
      <c r="A90" s="17" t="s">
        <v>647</v>
      </c>
      <c r="B90" s="17" t="s">
        <v>649</v>
      </c>
      <c r="C90" s="17" t="s">
        <v>362</v>
      </c>
      <c r="D90" s="17" t="s">
        <v>14</v>
      </c>
      <c r="E90" s="17" t="s">
        <v>15</v>
      </c>
      <c r="F90" s="17" t="s">
        <v>654</v>
      </c>
      <c r="G90" s="17" t="s">
        <v>245</v>
      </c>
      <c r="H90" s="17" t="s">
        <v>656</v>
      </c>
      <c r="I90" s="18"/>
      <c r="J90" s="18"/>
    </row>
    <row r="91">
      <c r="A91" s="17" t="s">
        <v>659</v>
      </c>
      <c r="B91" s="26" t="s">
        <v>661</v>
      </c>
      <c r="C91" s="26" t="s">
        <v>362</v>
      </c>
      <c r="D91" s="26" t="s">
        <v>214</v>
      </c>
      <c r="E91" s="26" t="s">
        <v>15</v>
      </c>
      <c r="F91" s="26" t="s">
        <v>670</v>
      </c>
      <c r="G91" s="26" t="s">
        <v>245</v>
      </c>
      <c r="H91" s="26" t="s">
        <v>671</v>
      </c>
      <c r="I91" s="27"/>
      <c r="J91" s="27"/>
    </row>
    <row r="92">
      <c r="A92" s="2" t="s">
        <v>677</v>
      </c>
    </row>
    <row r="93">
      <c r="A93" s="3" t="s">
        <v>684</v>
      </c>
      <c r="B93" s="3" t="s">
        <v>686</v>
      </c>
      <c r="C93" s="3" t="s">
        <v>416</v>
      </c>
      <c r="D93" s="3" t="s">
        <v>14</v>
      </c>
      <c r="E93" s="3" t="s">
        <v>15</v>
      </c>
      <c r="F93" s="3" t="s">
        <v>693</v>
      </c>
      <c r="G93" s="3" t="s">
        <v>17</v>
      </c>
      <c r="H93" s="3" t="s">
        <v>695</v>
      </c>
      <c r="I93" s="7"/>
      <c r="J93" s="7"/>
    </row>
    <row r="94">
      <c r="A94" s="3" t="s">
        <v>414</v>
      </c>
      <c r="B94" s="3" t="s">
        <v>415</v>
      </c>
      <c r="C94" s="3" t="s">
        <v>416</v>
      </c>
      <c r="D94" s="3" t="s">
        <v>14</v>
      </c>
      <c r="E94" s="3" t="s">
        <v>15</v>
      </c>
      <c r="F94" s="3" t="s">
        <v>700</v>
      </c>
      <c r="G94" s="3" t="s">
        <v>17</v>
      </c>
      <c r="H94" s="3" t="s">
        <v>701</v>
      </c>
      <c r="I94" s="7"/>
      <c r="J94" s="7"/>
    </row>
    <row r="95">
      <c r="A95" s="3" t="s">
        <v>423</v>
      </c>
      <c r="B95" s="3" t="s">
        <v>424</v>
      </c>
      <c r="C95" s="3" t="s">
        <v>416</v>
      </c>
      <c r="D95" s="3" t="s">
        <v>370</v>
      </c>
      <c r="E95" s="3" t="s">
        <v>15</v>
      </c>
      <c r="F95" s="3" t="s">
        <v>706</v>
      </c>
      <c r="G95" s="3" t="s">
        <v>17</v>
      </c>
      <c r="H95" s="3" t="s">
        <v>708</v>
      </c>
      <c r="I95" s="7"/>
      <c r="J95" s="7"/>
    </row>
    <row r="96">
      <c r="A96" s="3" t="s">
        <v>714</v>
      </c>
      <c r="B96" s="3" t="s">
        <v>716</v>
      </c>
      <c r="C96" s="3" t="s">
        <v>416</v>
      </c>
      <c r="D96" s="3" t="s">
        <v>14</v>
      </c>
      <c r="E96" s="3" t="s">
        <v>15</v>
      </c>
      <c r="F96" s="3" t="s">
        <v>721</v>
      </c>
      <c r="G96" s="3" t="s">
        <v>17</v>
      </c>
      <c r="H96" s="3" t="s">
        <v>723</v>
      </c>
      <c r="I96" s="7"/>
      <c r="J96" s="7"/>
    </row>
    <row r="97">
      <c r="A97" s="3" t="s">
        <v>725</v>
      </c>
      <c r="B97" s="3" t="s">
        <v>727</v>
      </c>
      <c r="C97" s="3" t="s">
        <v>416</v>
      </c>
      <c r="D97" s="3" t="s">
        <v>14</v>
      </c>
      <c r="E97" s="3" t="s">
        <v>15</v>
      </c>
      <c r="F97" s="3" t="s">
        <v>733</v>
      </c>
      <c r="G97" s="3" t="s">
        <v>17</v>
      </c>
      <c r="H97" s="3" t="s">
        <v>735</v>
      </c>
      <c r="I97" s="7"/>
      <c r="J97" s="7"/>
    </row>
    <row r="98">
      <c r="A98" s="3" t="s">
        <v>738</v>
      </c>
      <c r="B98" s="3" t="s">
        <v>739</v>
      </c>
      <c r="C98" s="3" t="s">
        <v>416</v>
      </c>
      <c r="D98" s="3" t="s">
        <v>185</v>
      </c>
      <c r="E98" s="3" t="s">
        <v>15</v>
      </c>
      <c r="F98" s="3" t="s">
        <v>743</v>
      </c>
      <c r="G98" s="3" t="s">
        <v>17</v>
      </c>
      <c r="H98" s="3" t="s">
        <v>745</v>
      </c>
      <c r="I98" s="7"/>
      <c r="J98" s="7"/>
    </row>
    <row r="99">
      <c r="A99" s="3" t="s">
        <v>749</v>
      </c>
      <c r="B99" s="3" t="s">
        <v>750</v>
      </c>
      <c r="C99" s="3" t="s">
        <v>416</v>
      </c>
      <c r="D99" s="3" t="s">
        <v>214</v>
      </c>
      <c r="E99" s="3" t="s">
        <v>15</v>
      </c>
      <c r="F99" s="3" t="s">
        <v>751</v>
      </c>
      <c r="G99" s="3" t="s">
        <v>17</v>
      </c>
      <c r="H99" s="3" t="s">
        <v>753</v>
      </c>
      <c r="I99" s="7"/>
      <c r="J99" s="7"/>
    </row>
    <row r="100">
      <c r="A100" s="17" t="s">
        <v>757</v>
      </c>
      <c r="B100" s="17" t="s">
        <v>758</v>
      </c>
      <c r="C100" s="17" t="s">
        <v>416</v>
      </c>
      <c r="D100" s="17" t="s">
        <v>14</v>
      </c>
      <c r="E100" s="17" t="s">
        <v>15</v>
      </c>
      <c r="F100" s="17" t="s">
        <v>760</v>
      </c>
      <c r="G100" s="17" t="s">
        <v>245</v>
      </c>
      <c r="H100" s="17" t="s">
        <v>761</v>
      </c>
      <c r="I100" s="18"/>
      <c r="J100" s="18"/>
    </row>
    <row r="101">
      <c r="A101" s="17" t="s">
        <v>763</v>
      </c>
      <c r="B101" s="17" t="s">
        <v>765</v>
      </c>
      <c r="C101" s="17" t="s">
        <v>416</v>
      </c>
      <c r="D101" s="17" t="s">
        <v>14</v>
      </c>
      <c r="E101" s="17" t="s">
        <v>15</v>
      </c>
      <c r="F101" s="17" t="s">
        <v>768</v>
      </c>
      <c r="G101" s="17" t="s">
        <v>245</v>
      </c>
      <c r="H101" s="17" t="s">
        <v>769</v>
      </c>
      <c r="I101" s="18"/>
      <c r="J101" s="18"/>
    </row>
    <row r="102">
      <c r="A102" s="17" t="s">
        <v>770</v>
      </c>
      <c r="B102" s="17" t="s">
        <v>771</v>
      </c>
      <c r="C102" s="17" t="s">
        <v>416</v>
      </c>
      <c r="D102" s="17" t="s">
        <v>14</v>
      </c>
      <c r="E102" s="17" t="s">
        <v>15</v>
      </c>
      <c r="F102" s="17" t="s">
        <v>772</v>
      </c>
      <c r="G102" s="17" t="s">
        <v>245</v>
      </c>
      <c r="H102" s="17" t="s">
        <v>774</v>
      </c>
      <c r="I102" s="18"/>
      <c r="J102" s="18"/>
    </row>
    <row r="103">
      <c r="A103" s="17" t="s">
        <v>777</v>
      </c>
      <c r="B103" s="17" t="s">
        <v>778</v>
      </c>
      <c r="C103" s="17" t="s">
        <v>416</v>
      </c>
      <c r="D103" s="17" t="s">
        <v>14</v>
      </c>
      <c r="E103" s="17" t="s">
        <v>15</v>
      </c>
      <c r="F103" s="17" t="s">
        <v>779</v>
      </c>
      <c r="G103" s="17" t="s">
        <v>245</v>
      </c>
      <c r="H103" s="17" t="s">
        <v>780</v>
      </c>
      <c r="I103" s="18"/>
      <c r="J103" s="18"/>
    </row>
    <row r="104">
      <c r="A104" s="3" t="s">
        <v>782</v>
      </c>
      <c r="B104" s="3" t="s">
        <v>784</v>
      </c>
      <c r="C104" s="3" t="s">
        <v>416</v>
      </c>
      <c r="D104" s="3" t="s">
        <v>214</v>
      </c>
      <c r="E104" s="3" t="s">
        <v>15</v>
      </c>
      <c r="F104" s="3" t="s">
        <v>786</v>
      </c>
      <c r="G104" s="3" t="s">
        <v>17</v>
      </c>
      <c r="H104" s="3" t="s">
        <v>789</v>
      </c>
      <c r="I104" s="7"/>
      <c r="J104" s="7"/>
    </row>
    <row r="105">
      <c r="A105" s="3" t="s">
        <v>793</v>
      </c>
      <c r="B105" s="3" t="s">
        <v>795</v>
      </c>
      <c r="C105" s="3" t="s">
        <v>416</v>
      </c>
      <c r="D105" s="3" t="s">
        <v>14</v>
      </c>
      <c r="E105" s="3" t="s">
        <v>15</v>
      </c>
      <c r="F105" s="3" t="s">
        <v>693</v>
      </c>
      <c r="G105" s="3" t="s">
        <v>17</v>
      </c>
      <c r="H105" s="3" t="s">
        <v>695</v>
      </c>
      <c r="I105" s="7"/>
      <c r="J105" s="7"/>
    </row>
    <row r="106">
      <c r="A106" s="3" t="s">
        <v>801</v>
      </c>
      <c r="B106" s="3" t="s">
        <v>802</v>
      </c>
      <c r="C106" s="3" t="s">
        <v>416</v>
      </c>
      <c r="D106" s="3" t="s">
        <v>14</v>
      </c>
      <c r="E106" s="3" t="s">
        <v>15</v>
      </c>
      <c r="F106" s="3" t="s">
        <v>805</v>
      </c>
      <c r="G106" s="3" t="s">
        <v>17</v>
      </c>
      <c r="H106" s="3" t="s">
        <v>808</v>
      </c>
      <c r="I106" s="7"/>
      <c r="J106" s="7"/>
    </row>
    <row r="107">
      <c r="A107" s="2" t="s">
        <v>811</v>
      </c>
    </row>
    <row r="108">
      <c r="A108" s="3" t="s">
        <v>481</v>
      </c>
      <c r="B108" s="3" t="s">
        <v>483</v>
      </c>
      <c r="C108" s="3" t="s">
        <v>817</v>
      </c>
      <c r="D108" s="3" t="s">
        <v>185</v>
      </c>
      <c r="E108" s="3" t="s">
        <v>15</v>
      </c>
      <c r="F108" s="3" t="s">
        <v>819</v>
      </c>
      <c r="G108" s="3" t="s">
        <v>17</v>
      </c>
      <c r="H108" s="3" t="s">
        <v>821</v>
      </c>
      <c r="I108" s="7"/>
      <c r="J108" s="7"/>
    </row>
    <row r="109">
      <c r="A109" s="3" t="s">
        <v>827</v>
      </c>
      <c r="B109" s="3" t="s">
        <v>828</v>
      </c>
      <c r="C109" s="3" t="s">
        <v>817</v>
      </c>
      <c r="D109" s="3" t="s">
        <v>185</v>
      </c>
      <c r="E109" s="3" t="s">
        <v>15</v>
      </c>
      <c r="F109" s="3" t="s">
        <v>830</v>
      </c>
      <c r="G109" s="3" t="s">
        <v>17</v>
      </c>
      <c r="H109" s="3" t="s">
        <v>831</v>
      </c>
      <c r="I109" s="7"/>
      <c r="J109" s="7"/>
    </row>
    <row r="110">
      <c r="A110" s="3" t="s">
        <v>516</v>
      </c>
      <c r="B110" s="3" t="s">
        <v>518</v>
      </c>
      <c r="C110" s="3" t="s">
        <v>817</v>
      </c>
      <c r="D110" s="3" t="s">
        <v>185</v>
      </c>
      <c r="E110" s="3" t="s">
        <v>15</v>
      </c>
      <c r="F110" s="3" t="s">
        <v>837</v>
      </c>
      <c r="G110" s="3" t="s">
        <v>17</v>
      </c>
      <c r="H110" s="3" t="s">
        <v>838</v>
      </c>
      <c r="I110" s="7"/>
      <c r="J110" s="7"/>
    </row>
    <row r="111">
      <c r="A111" s="3" t="s">
        <v>494</v>
      </c>
      <c r="B111" s="3" t="s">
        <v>495</v>
      </c>
      <c r="C111" s="3" t="s">
        <v>817</v>
      </c>
      <c r="D111" s="3" t="s">
        <v>185</v>
      </c>
      <c r="E111" s="3" t="s">
        <v>15</v>
      </c>
      <c r="F111" s="3" t="s">
        <v>843</v>
      </c>
      <c r="G111" s="3" t="s">
        <v>17</v>
      </c>
      <c r="H111" s="3" t="s">
        <v>844</v>
      </c>
      <c r="I111" s="7"/>
      <c r="J111" s="7"/>
    </row>
    <row r="112">
      <c r="A112" s="3" t="s">
        <v>462</v>
      </c>
      <c r="B112" s="3" t="s">
        <v>463</v>
      </c>
      <c r="C112" s="3" t="s">
        <v>817</v>
      </c>
      <c r="D112" s="3" t="s">
        <v>185</v>
      </c>
      <c r="E112" s="3" t="s">
        <v>15</v>
      </c>
      <c r="F112" s="3" t="s">
        <v>850</v>
      </c>
      <c r="G112" s="3" t="s">
        <v>17</v>
      </c>
      <c r="H112" s="3" t="s">
        <v>853</v>
      </c>
      <c r="I112" s="7"/>
      <c r="J112" s="7"/>
    </row>
    <row r="113">
      <c r="A113" s="3" t="s">
        <v>856</v>
      </c>
      <c r="B113" s="3" t="s">
        <v>859</v>
      </c>
      <c r="C113" s="3" t="s">
        <v>817</v>
      </c>
      <c r="D113" s="3" t="s">
        <v>185</v>
      </c>
      <c r="E113" s="3" t="s">
        <v>15</v>
      </c>
      <c r="F113" s="3" t="s">
        <v>863</v>
      </c>
      <c r="G113" s="3" t="s">
        <v>17</v>
      </c>
      <c r="H113" s="3" t="s">
        <v>865</v>
      </c>
      <c r="I113" s="7"/>
      <c r="J113" s="7"/>
    </row>
    <row r="114">
      <c r="A114" s="3" t="s">
        <v>510</v>
      </c>
      <c r="B114" s="3" t="s">
        <v>511</v>
      </c>
      <c r="C114" s="3" t="s">
        <v>817</v>
      </c>
      <c r="D114" s="3" t="s">
        <v>185</v>
      </c>
      <c r="E114" s="3" t="s">
        <v>15</v>
      </c>
      <c r="F114" s="3" t="s">
        <v>866</v>
      </c>
      <c r="G114" s="3" t="s">
        <v>17</v>
      </c>
      <c r="H114" s="3" t="s">
        <v>867</v>
      </c>
      <c r="I114" s="7"/>
      <c r="J114" s="7"/>
    </row>
    <row r="115">
      <c r="A115" s="3" t="s">
        <v>499</v>
      </c>
      <c r="B115" s="3" t="s">
        <v>501</v>
      </c>
      <c r="C115" s="3" t="s">
        <v>817</v>
      </c>
      <c r="D115" s="3" t="s">
        <v>185</v>
      </c>
      <c r="E115" s="3" t="s">
        <v>15</v>
      </c>
      <c r="F115" s="3" t="s">
        <v>876</v>
      </c>
      <c r="G115" s="3" t="s">
        <v>17</v>
      </c>
      <c r="H115" s="3" t="s">
        <v>878</v>
      </c>
      <c r="I115" s="7"/>
      <c r="J115" s="7"/>
    </row>
    <row r="116">
      <c r="A116" s="3" t="s">
        <v>666</v>
      </c>
      <c r="B116" s="3" t="s">
        <v>669</v>
      </c>
      <c r="C116" s="3" t="s">
        <v>817</v>
      </c>
      <c r="D116" s="3" t="s">
        <v>185</v>
      </c>
      <c r="E116" s="3" t="s">
        <v>15</v>
      </c>
      <c r="F116" s="3" t="s">
        <v>886</v>
      </c>
      <c r="G116" s="3" t="s">
        <v>17</v>
      </c>
      <c r="H116" s="3" t="s">
        <v>890</v>
      </c>
      <c r="I116" s="7"/>
      <c r="J116" s="7"/>
    </row>
    <row r="117">
      <c r="A117" s="3" t="s">
        <v>895</v>
      </c>
      <c r="B117" s="3" t="s">
        <v>897</v>
      </c>
      <c r="C117" s="3" t="s">
        <v>817</v>
      </c>
      <c r="D117" s="3" t="s">
        <v>185</v>
      </c>
      <c r="E117" s="3" t="s">
        <v>15</v>
      </c>
      <c r="F117" s="3" t="s">
        <v>903</v>
      </c>
      <c r="G117" s="3" t="s">
        <v>17</v>
      </c>
      <c r="H117" s="3" t="s">
        <v>906</v>
      </c>
      <c r="I117" s="7"/>
      <c r="J117" s="7"/>
    </row>
    <row r="118">
      <c r="A118" s="3" t="s">
        <v>913</v>
      </c>
      <c r="B118" s="3" t="s">
        <v>914</v>
      </c>
      <c r="C118" s="3" t="s">
        <v>817</v>
      </c>
      <c r="D118" s="3" t="s">
        <v>185</v>
      </c>
      <c r="E118" s="3" t="s">
        <v>15</v>
      </c>
      <c r="F118" s="3" t="s">
        <v>917</v>
      </c>
      <c r="G118" s="3" t="s">
        <v>17</v>
      </c>
      <c r="H118" s="3" t="s">
        <v>921</v>
      </c>
      <c r="I118" s="7"/>
      <c r="J118" s="7"/>
    </row>
    <row r="119">
      <c r="A119" s="3" t="s">
        <v>927</v>
      </c>
      <c r="B119" s="3" t="s">
        <v>929</v>
      </c>
      <c r="C119" s="3" t="s">
        <v>817</v>
      </c>
      <c r="D119" s="3" t="s">
        <v>185</v>
      </c>
      <c r="E119" s="3" t="s">
        <v>15</v>
      </c>
      <c r="F119" s="3" t="s">
        <v>931</v>
      </c>
      <c r="G119" s="3" t="s">
        <v>17</v>
      </c>
      <c r="H119" s="3" t="s">
        <v>933</v>
      </c>
      <c r="I119" s="7"/>
      <c r="J119" s="7"/>
    </row>
    <row r="120">
      <c r="A120" s="3" t="s">
        <v>936</v>
      </c>
      <c r="B120" s="3" t="s">
        <v>937</v>
      </c>
      <c r="C120" s="3" t="s">
        <v>817</v>
      </c>
      <c r="D120" s="3" t="s">
        <v>185</v>
      </c>
      <c r="E120" s="3" t="s">
        <v>15</v>
      </c>
      <c r="F120" s="3" t="s">
        <v>216</v>
      </c>
      <c r="G120" s="3" t="s">
        <v>17</v>
      </c>
      <c r="H120" s="3" t="s">
        <v>941</v>
      </c>
      <c r="I120" s="7"/>
      <c r="J120" s="7"/>
    </row>
    <row r="121">
      <c r="A121" s="17" t="s">
        <v>680</v>
      </c>
      <c r="B121" s="17" t="s">
        <v>682</v>
      </c>
      <c r="C121" s="17" t="s">
        <v>817</v>
      </c>
      <c r="D121" s="17" t="s">
        <v>185</v>
      </c>
      <c r="E121" s="17" t="s">
        <v>15</v>
      </c>
      <c r="F121" s="17" t="s">
        <v>948</v>
      </c>
      <c r="G121" s="17" t="s">
        <v>245</v>
      </c>
      <c r="H121" s="17" t="s">
        <v>949</v>
      </c>
      <c r="I121" s="18"/>
      <c r="J121" s="18"/>
    </row>
    <row r="122">
      <c r="A122" s="17" t="s">
        <v>952</v>
      </c>
      <c r="B122" s="17" t="s">
        <v>954</v>
      </c>
      <c r="C122" s="17" t="s">
        <v>817</v>
      </c>
      <c r="D122" s="17" t="s">
        <v>185</v>
      </c>
      <c r="E122" s="17" t="s">
        <v>15</v>
      </c>
      <c r="F122" s="17" t="s">
        <v>959</v>
      </c>
      <c r="G122" s="17" t="s">
        <v>245</v>
      </c>
      <c r="H122" s="17" t="s">
        <v>961</v>
      </c>
      <c r="I122" s="18"/>
      <c r="J122" s="18"/>
    </row>
    <row r="123">
      <c r="A123" s="17" t="s">
        <v>964</v>
      </c>
      <c r="B123" s="17" t="s">
        <v>967</v>
      </c>
      <c r="C123" s="17" t="s">
        <v>817</v>
      </c>
      <c r="D123" s="17" t="s">
        <v>185</v>
      </c>
      <c r="E123" s="17" t="s">
        <v>15</v>
      </c>
      <c r="F123" s="17" t="s">
        <v>971</v>
      </c>
      <c r="G123" s="17" t="s">
        <v>245</v>
      </c>
      <c r="H123" s="17" t="s">
        <v>977</v>
      </c>
      <c r="I123" s="18"/>
      <c r="J123" s="18"/>
    </row>
    <row r="124">
      <c r="A124" s="17" t="s">
        <v>980</v>
      </c>
      <c r="B124" s="17" t="s">
        <v>981</v>
      </c>
      <c r="C124" s="17" t="s">
        <v>817</v>
      </c>
      <c r="D124" s="17" t="s">
        <v>185</v>
      </c>
      <c r="E124" s="17" t="s">
        <v>15</v>
      </c>
      <c r="F124" s="17" t="s">
        <v>982</v>
      </c>
      <c r="G124" s="17" t="s">
        <v>245</v>
      </c>
      <c r="H124" s="17" t="s">
        <v>984</v>
      </c>
      <c r="I124" s="18"/>
      <c r="J124" s="18"/>
    </row>
    <row r="125">
      <c r="A125" s="2" t="s">
        <v>987</v>
      </c>
    </row>
    <row r="126">
      <c r="A126" s="31" t="s">
        <v>992</v>
      </c>
    </row>
    <row r="127">
      <c r="A127" s="3" t="s">
        <v>427</v>
      </c>
      <c r="B127" s="3" t="s">
        <v>428</v>
      </c>
      <c r="C127" s="3" t="s">
        <v>430</v>
      </c>
      <c r="D127" s="3" t="s">
        <v>185</v>
      </c>
      <c r="E127" s="3" t="s">
        <v>15</v>
      </c>
      <c r="F127" s="3" t="s">
        <v>1001</v>
      </c>
      <c r="G127" s="3" t="s">
        <v>17</v>
      </c>
      <c r="H127" s="3" t="s">
        <v>1002</v>
      </c>
      <c r="I127" s="7"/>
      <c r="J127" s="7"/>
    </row>
    <row r="128">
      <c r="A128" s="3" t="s">
        <v>799</v>
      </c>
      <c r="B128" s="3" t="s">
        <v>800</v>
      </c>
      <c r="C128" s="3" t="s">
        <v>430</v>
      </c>
      <c r="D128" s="3" t="s">
        <v>185</v>
      </c>
      <c r="E128" s="3" t="s">
        <v>15</v>
      </c>
      <c r="F128" s="3" t="s">
        <v>1006</v>
      </c>
      <c r="G128" s="3" t="s">
        <v>17</v>
      </c>
      <c r="H128" s="3" t="s">
        <v>1008</v>
      </c>
      <c r="I128" s="7"/>
      <c r="J128" s="7"/>
    </row>
    <row r="129">
      <c r="A129" s="3" t="s">
        <v>1010</v>
      </c>
      <c r="B129" s="3" t="s">
        <v>1013</v>
      </c>
      <c r="C129" s="3" t="s">
        <v>430</v>
      </c>
      <c r="D129" s="3" t="s">
        <v>185</v>
      </c>
      <c r="E129" s="3" t="s">
        <v>15</v>
      </c>
      <c r="F129" s="3" t="s">
        <v>1016</v>
      </c>
      <c r="G129" s="3" t="s">
        <v>17</v>
      </c>
      <c r="H129" s="3" t="s">
        <v>1017</v>
      </c>
      <c r="I129" s="7"/>
      <c r="J129" s="7"/>
    </row>
    <row r="130">
      <c r="A130" s="3" t="s">
        <v>538</v>
      </c>
      <c r="B130" s="3" t="s">
        <v>539</v>
      </c>
      <c r="C130" s="3" t="s">
        <v>430</v>
      </c>
      <c r="D130" s="3" t="s">
        <v>185</v>
      </c>
      <c r="E130" s="3" t="s">
        <v>15</v>
      </c>
      <c r="F130" s="3" t="s">
        <v>1025</v>
      </c>
      <c r="G130" s="3" t="s">
        <v>17</v>
      </c>
      <c r="H130" s="3" t="s">
        <v>1027</v>
      </c>
      <c r="I130" s="7"/>
      <c r="J130" s="7"/>
    </row>
    <row r="131">
      <c r="A131" s="3" t="s">
        <v>543</v>
      </c>
      <c r="B131" s="3" t="s">
        <v>544</v>
      </c>
      <c r="C131" s="3" t="s">
        <v>430</v>
      </c>
      <c r="D131" s="3" t="s">
        <v>185</v>
      </c>
      <c r="E131" s="3" t="s">
        <v>15</v>
      </c>
      <c r="F131" s="3" t="s">
        <v>1029</v>
      </c>
      <c r="G131" s="3" t="s">
        <v>17</v>
      </c>
      <c r="H131" s="3" t="s">
        <v>1030</v>
      </c>
      <c r="I131" s="7"/>
      <c r="J131" s="7"/>
    </row>
    <row r="132">
      <c r="A132" s="3" t="s">
        <v>1032</v>
      </c>
      <c r="B132" s="3" t="s">
        <v>1033</v>
      </c>
      <c r="C132" s="3" t="s">
        <v>430</v>
      </c>
      <c r="D132" s="3" t="s">
        <v>185</v>
      </c>
      <c r="E132" s="3" t="s">
        <v>15</v>
      </c>
      <c r="F132" s="3" t="s">
        <v>1035</v>
      </c>
      <c r="G132" s="3" t="s">
        <v>17</v>
      </c>
      <c r="H132" s="3" t="s">
        <v>1037</v>
      </c>
      <c r="I132" s="7"/>
      <c r="J132" s="7"/>
    </row>
    <row r="133">
      <c r="A133" s="3" t="s">
        <v>531</v>
      </c>
      <c r="B133" s="3" t="s">
        <v>533</v>
      </c>
      <c r="C133" s="3" t="s">
        <v>430</v>
      </c>
      <c r="D133" s="3" t="s">
        <v>185</v>
      </c>
      <c r="E133" s="3" t="s">
        <v>15</v>
      </c>
      <c r="F133" s="3" t="s">
        <v>1043</v>
      </c>
      <c r="G133" s="3" t="s">
        <v>17</v>
      </c>
      <c r="H133" s="3" t="s">
        <v>1044</v>
      </c>
      <c r="I133" s="7"/>
      <c r="J133" s="7"/>
    </row>
    <row r="134">
      <c r="A134" s="17" t="s">
        <v>1047</v>
      </c>
      <c r="B134" s="17" t="s">
        <v>1048</v>
      </c>
      <c r="C134" s="17" t="s">
        <v>430</v>
      </c>
      <c r="D134" s="17" t="s">
        <v>185</v>
      </c>
      <c r="E134" s="17" t="s">
        <v>15</v>
      </c>
      <c r="F134" s="17" t="s">
        <v>1050</v>
      </c>
      <c r="G134" s="17" t="s">
        <v>245</v>
      </c>
      <c r="H134" s="17" t="s">
        <v>1053</v>
      </c>
      <c r="I134" s="18"/>
      <c r="J134" s="18"/>
    </row>
    <row r="135">
      <c r="A135" s="31" t="s">
        <v>1067</v>
      </c>
    </row>
    <row r="136">
      <c r="A136" s="17" t="s">
        <v>1070</v>
      </c>
      <c r="B136" s="17" t="s">
        <v>1071</v>
      </c>
      <c r="C136" s="17" t="s">
        <v>430</v>
      </c>
      <c r="D136" s="17" t="s">
        <v>185</v>
      </c>
      <c r="E136" s="17" t="s">
        <v>15</v>
      </c>
      <c r="F136" s="17" t="s">
        <v>1077</v>
      </c>
      <c r="G136" s="17" t="s">
        <v>245</v>
      </c>
      <c r="H136" s="17" t="s">
        <v>1079</v>
      </c>
      <c r="I136" s="17" t="s">
        <v>1077</v>
      </c>
      <c r="J136" s="18"/>
    </row>
    <row r="137">
      <c r="A137" s="17" t="s">
        <v>434</v>
      </c>
      <c r="B137" s="17" t="s">
        <v>1084</v>
      </c>
      <c r="C137" s="17" t="s">
        <v>430</v>
      </c>
      <c r="D137" s="17" t="s">
        <v>185</v>
      </c>
      <c r="E137" s="17" t="s">
        <v>15</v>
      </c>
      <c r="F137" s="17" t="s">
        <v>1085</v>
      </c>
      <c r="G137" s="17" t="s">
        <v>245</v>
      </c>
      <c r="H137" s="17" t="s">
        <v>1087</v>
      </c>
      <c r="I137" s="17" t="s">
        <v>1085</v>
      </c>
      <c r="J137" s="18"/>
    </row>
    <row r="138">
      <c r="A138" s="17" t="s">
        <v>1090</v>
      </c>
      <c r="B138" s="17" t="s">
        <v>1091</v>
      </c>
      <c r="C138" s="17" t="s">
        <v>430</v>
      </c>
      <c r="D138" s="17" t="s">
        <v>185</v>
      </c>
      <c r="E138" s="17" t="s">
        <v>15</v>
      </c>
      <c r="F138" s="17" t="s">
        <v>1092</v>
      </c>
      <c r="G138" s="17" t="s">
        <v>245</v>
      </c>
      <c r="H138" s="17" t="s">
        <v>1094</v>
      </c>
      <c r="I138" s="17" t="s">
        <v>1092</v>
      </c>
      <c r="J138" s="18"/>
    </row>
    <row r="139">
      <c r="A139" s="17" t="s">
        <v>696</v>
      </c>
      <c r="B139" s="17" t="s">
        <v>1097</v>
      </c>
      <c r="C139" s="17" t="s">
        <v>430</v>
      </c>
      <c r="D139" s="17" t="s">
        <v>185</v>
      </c>
      <c r="E139" s="17" t="s">
        <v>15</v>
      </c>
      <c r="F139" s="17" t="s">
        <v>1099</v>
      </c>
      <c r="G139" s="17" t="s">
        <v>245</v>
      </c>
      <c r="H139" s="17" t="s">
        <v>1102</v>
      </c>
      <c r="I139" s="17" t="s">
        <v>1099</v>
      </c>
      <c r="J139" s="18"/>
    </row>
    <row r="140">
      <c r="A140" s="17" t="s">
        <v>736</v>
      </c>
      <c r="B140" s="17" t="s">
        <v>1103</v>
      </c>
      <c r="C140" s="17" t="s">
        <v>430</v>
      </c>
      <c r="D140" s="17" t="s">
        <v>185</v>
      </c>
      <c r="E140" s="17" t="s">
        <v>15</v>
      </c>
      <c r="F140" s="17" t="s">
        <v>1105</v>
      </c>
      <c r="G140" s="17" t="s">
        <v>245</v>
      </c>
      <c r="H140" s="17" t="s">
        <v>1106</v>
      </c>
      <c r="I140" s="17" t="s">
        <v>1105</v>
      </c>
      <c r="J140" s="18"/>
    </row>
    <row r="141">
      <c r="A141" s="17" t="s">
        <v>1107</v>
      </c>
      <c r="B141" s="17" t="s">
        <v>1108</v>
      </c>
      <c r="C141" s="17" t="s">
        <v>430</v>
      </c>
      <c r="D141" s="17" t="s">
        <v>185</v>
      </c>
      <c r="E141" s="17" t="s">
        <v>15</v>
      </c>
      <c r="F141" s="17" t="s">
        <v>1110</v>
      </c>
      <c r="G141" s="17" t="s">
        <v>245</v>
      </c>
      <c r="H141" s="17" t="s">
        <v>1111</v>
      </c>
      <c r="I141" s="17" t="s">
        <v>1110</v>
      </c>
      <c r="J141" s="18"/>
    </row>
    <row r="142">
      <c r="A142" s="17" t="s">
        <v>1113</v>
      </c>
      <c r="B142" s="17" t="s">
        <v>1114</v>
      </c>
      <c r="C142" s="17" t="s">
        <v>430</v>
      </c>
      <c r="D142" s="17" t="s">
        <v>185</v>
      </c>
      <c r="E142" s="17" t="s">
        <v>15</v>
      </c>
      <c r="F142" s="17" t="s">
        <v>1117</v>
      </c>
      <c r="G142" s="17" t="s">
        <v>245</v>
      </c>
      <c r="H142" s="17" t="s">
        <v>1118</v>
      </c>
      <c r="I142" s="17" t="s">
        <v>1117</v>
      </c>
      <c r="J142" s="18"/>
    </row>
    <row r="143">
      <c r="A143" s="17" t="s">
        <v>1120</v>
      </c>
      <c r="B143" s="17" t="s">
        <v>1121</v>
      </c>
      <c r="C143" s="17" t="s">
        <v>430</v>
      </c>
      <c r="D143" s="17" t="s">
        <v>185</v>
      </c>
      <c r="E143" s="17" t="s">
        <v>15</v>
      </c>
      <c r="F143" s="17" t="s">
        <v>1122</v>
      </c>
      <c r="G143" s="17" t="s">
        <v>245</v>
      </c>
      <c r="H143" s="17" t="s">
        <v>1124</v>
      </c>
      <c r="I143" s="17" t="s">
        <v>1122</v>
      </c>
      <c r="J143" s="18"/>
    </row>
    <row r="144">
      <c r="A144" s="17" t="s">
        <v>581</v>
      </c>
      <c r="B144" s="17" t="s">
        <v>582</v>
      </c>
      <c r="C144" s="17" t="s">
        <v>430</v>
      </c>
      <c r="D144" s="17" t="s">
        <v>185</v>
      </c>
      <c r="E144" s="17" t="s">
        <v>15</v>
      </c>
      <c r="F144" s="17" t="s">
        <v>1126</v>
      </c>
      <c r="G144" s="17" t="s">
        <v>245</v>
      </c>
      <c r="H144" s="17" t="s">
        <v>1127</v>
      </c>
      <c r="I144" s="17" t="s">
        <v>1126</v>
      </c>
      <c r="J144" s="18"/>
    </row>
    <row r="145">
      <c r="A145" s="17" t="s">
        <v>470</v>
      </c>
      <c r="B145" s="17" t="s">
        <v>471</v>
      </c>
      <c r="C145" s="17" t="s">
        <v>430</v>
      </c>
      <c r="D145" s="17" t="s">
        <v>185</v>
      </c>
      <c r="E145" s="17" t="s">
        <v>15</v>
      </c>
      <c r="F145" s="17" t="s">
        <v>1129</v>
      </c>
      <c r="G145" s="17" t="s">
        <v>245</v>
      </c>
      <c r="H145" s="17" t="s">
        <v>1130</v>
      </c>
      <c r="I145" s="17" t="s">
        <v>1129</v>
      </c>
      <c r="J145" s="18"/>
    </row>
    <row r="146">
      <c r="A146" s="17" t="s">
        <v>1132</v>
      </c>
      <c r="B146" s="17" t="s">
        <v>1133</v>
      </c>
      <c r="C146" s="17" t="s">
        <v>430</v>
      </c>
      <c r="D146" s="17" t="s">
        <v>185</v>
      </c>
      <c r="E146" s="17" t="s">
        <v>15</v>
      </c>
      <c r="F146" s="17" t="s">
        <v>1134</v>
      </c>
      <c r="G146" s="17" t="s">
        <v>245</v>
      </c>
      <c r="H146" s="17" t="s">
        <v>1135</v>
      </c>
      <c r="I146" s="17" t="s">
        <v>1134</v>
      </c>
      <c r="J146" s="18"/>
    </row>
    <row r="147">
      <c r="A147" s="17" t="s">
        <v>1137</v>
      </c>
      <c r="B147" s="17" t="s">
        <v>1138</v>
      </c>
      <c r="C147" s="17" t="s">
        <v>430</v>
      </c>
      <c r="D147" s="17" t="s">
        <v>185</v>
      </c>
      <c r="E147" s="17" t="s">
        <v>15</v>
      </c>
      <c r="F147" s="17" t="s">
        <v>1140</v>
      </c>
      <c r="G147" s="17" t="s">
        <v>245</v>
      </c>
      <c r="H147" s="17" t="s">
        <v>1142</v>
      </c>
      <c r="I147" s="17" t="s">
        <v>1140</v>
      </c>
      <c r="J147" s="18"/>
    </row>
    <row r="148">
      <c r="A148" s="17" t="s">
        <v>1143</v>
      </c>
      <c r="B148" s="17" t="s">
        <v>1144</v>
      </c>
      <c r="C148" s="17" t="s">
        <v>430</v>
      </c>
      <c r="D148" s="17" t="s">
        <v>185</v>
      </c>
      <c r="E148" s="17" t="s">
        <v>15</v>
      </c>
      <c r="F148" s="17" t="s">
        <v>1146</v>
      </c>
      <c r="G148" s="17" t="s">
        <v>245</v>
      </c>
      <c r="H148" s="17" t="s">
        <v>1147</v>
      </c>
      <c r="I148" s="17" t="s">
        <v>1146</v>
      </c>
      <c r="J148" s="18"/>
    </row>
    <row r="149">
      <c r="A149" s="17" t="s">
        <v>549</v>
      </c>
      <c r="B149" s="17" t="s">
        <v>550</v>
      </c>
      <c r="C149" s="17" t="s">
        <v>430</v>
      </c>
      <c r="D149" s="17" t="s">
        <v>185</v>
      </c>
      <c r="E149" s="17" t="s">
        <v>15</v>
      </c>
      <c r="F149" s="17" t="s">
        <v>1151</v>
      </c>
      <c r="G149" s="17" t="s">
        <v>245</v>
      </c>
      <c r="H149" s="17" t="s">
        <v>1152</v>
      </c>
      <c r="I149" s="17" t="s">
        <v>1151</v>
      </c>
      <c r="J149" s="18"/>
    </row>
    <row r="150">
      <c r="A150" s="17" t="s">
        <v>1155</v>
      </c>
      <c r="B150" s="17" t="s">
        <v>1157</v>
      </c>
      <c r="C150" s="17" t="s">
        <v>430</v>
      </c>
      <c r="D150" s="17" t="s">
        <v>185</v>
      </c>
      <c r="E150" s="17" t="s">
        <v>15</v>
      </c>
      <c r="F150" s="17" t="s">
        <v>1160</v>
      </c>
      <c r="G150" s="17" t="s">
        <v>245</v>
      </c>
      <c r="H150" s="17" t="s">
        <v>1161</v>
      </c>
      <c r="I150" s="17" t="s">
        <v>1160</v>
      </c>
      <c r="J150" s="18"/>
    </row>
    <row r="151">
      <c r="A151" s="17" t="s">
        <v>815</v>
      </c>
      <c r="B151" s="17" t="s">
        <v>816</v>
      </c>
      <c r="C151" s="17" t="s">
        <v>430</v>
      </c>
      <c r="D151" s="17" t="s">
        <v>185</v>
      </c>
      <c r="E151" s="17" t="s">
        <v>15</v>
      </c>
      <c r="F151" s="17" t="s">
        <v>1166</v>
      </c>
      <c r="G151" s="17" t="s">
        <v>245</v>
      </c>
      <c r="H151" s="17" t="s">
        <v>1167</v>
      </c>
      <c r="I151" s="17" t="s">
        <v>1166</v>
      </c>
      <c r="J151" s="18"/>
    </row>
    <row r="152">
      <c r="A152" s="3" t="s">
        <v>1170</v>
      </c>
      <c r="B152" s="3" t="s">
        <v>1172</v>
      </c>
      <c r="C152" s="3" t="s">
        <v>430</v>
      </c>
      <c r="D152" s="3" t="s">
        <v>185</v>
      </c>
      <c r="E152" s="3" t="s">
        <v>15</v>
      </c>
      <c r="F152" s="33" t="s">
        <v>1174</v>
      </c>
      <c r="G152" s="33" t="s">
        <v>245</v>
      </c>
      <c r="H152" s="33" t="s">
        <v>1178</v>
      </c>
      <c r="I152" s="7"/>
      <c r="J152" s="7"/>
    </row>
    <row r="153">
      <c r="A153" s="3" t="s">
        <v>1182</v>
      </c>
      <c r="B153" s="3" t="s">
        <v>1184</v>
      </c>
      <c r="C153" s="3" t="s">
        <v>430</v>
      </c>
      <c r="D153" s="3" t="s">
        <v>185</v>
      </c>
      <c r="E153" s="3" t="s">
        <v>15</v>
      </c>
      <c r="F153" s="33" t="s">
        <v>1186</v>
      </c>
      <c r="G153" s="33" t="s">
        <v>245</v>
      </c>
      <c r="H153" s="33" t="s">
        <v>1188</v>
      </c>
      <c r="I153" s="7"/>
      <c r="J153" s="7"/>
    </row>
    <row r="154">
      <c r="A154" s="3" t="s">
        <v>1191</v>
      </c>
      <c r="B154" s="3" t="s">
        <v>1192</v>
      </c>
      <c r="C154" s="3" t="s">
        <v>430</v>
      </c>
      <c r="D154" s="3" t="s">
        <v>185</v>
      </c>
      <c r="E154" s="3" t="s">
        <v>15</v>
      </c>
      <c r="F154" s="33" t="s">
        <v>1194</v>
      </c>
      <c r="G154" s="33" t="s">
        <v>245</v>
      </c>
      <c r="H154" s="33" t="s">
        <v>1196</v>
      </c>
      <c r="I154" s="7"/>
      <c r="J154" s="7"/>
    </row>
    <row r="155">
      <c r="A155" s="3" t="s">
        <v>1198</v>
      </c>
      <c r="B155" s="3" t="s">
        <v>1199</v>
      </c>
      <c r="C155" s="3" t="s">
        <v>430</v>
      </c>
      <c r="D155" s="33" t="s">
        <v>185</v>
      </c>
      <c r="E155" s="3" t="s">
        <v>15</v>
      </c>
      <c r="F155" s="33" t="s">
        <v>1200</v>
      </c>
      <c r="G155" s="33" t="s">
        <v>245</v>
      </c>
      <c r="H155" s="33" t="s">
        <v>1201</v>
      </c>
      <c r="I155" s="7"/>
      <c r="J155" s="7"/>
    </row>
    <row r="156">
      <c r="A156" s="3" t="s">
        <v>1203</v>
      </c>
      <c r="B156" s="3" t="s">
        <v>1204</v>
      </c>
      <c r="C156" s="3" t="s">
        <v>430</v>
      </c>
      <c r="D156" s="33" t="s">
        <v>185</v>
      </c>
      <c r="E156" s="3" t="s">
        <v>15</v>
      </c>
      <c r="F156" s="33" t="s">
        <v>1207</v>
      </c>
      <c r="G156" s="33" t="s">
        <v>245</v>
      </c>
      <c r="H156" s="33" t="s">
        <v>1208</v>
      </c>
      <c r="I156" s="7"/>
      <c r="J156" s="7"/>
    </row>
    <row r="157">
      <c r="A157" s="3" t="s">
        <v>1210</v>
      </c>
      <c r="B157" s="3" t="s">
        <v>1211</v>
      </c>
      <c r="C157" s="33" t="s">
        <v>430</v>
      </c>
      <c r="D157" s="33" t="s">
        <v>185</v>
      </c>
      <c r="E157" s="3" t="s">
        <v>15</v>
      </c>
      <c r="F157" s="33" t="s">
        <v>1212</v>
      </c>
      <c r="G157" s="33" t="s">
        <v>245</v>
      </c>
      <c r="H157" s="33" t="s">
        <v>1213</v>
      </c>
      <c r="I157" s="7"/>
      <c r="J157" s="7"/>
    </row>
    <row r="158">
      <c r="A158" s="3" t="s">
        <v>1215</v>
      </c>
      <c r="B158" s="3" t="s">
        <v>1216</v>
      </c>
      <c r="C158" s="33" t="s">
        <v>430</v>
      </c>
      <c r="D158" s="33" t="s">
        <v>185</v>
      </c>
      <c r="E158" s="3" t="s">
        <v>15</v>
      </c>
      <c r="F158" s="14" t="s">
        <v>1219</v>
      </c>
      <c r="G158" s="33" t="s">
        <v>245</v>
      </c>
      <c r="H158" s="33" t="s">
        <v>1221</v>
      </c>
      <c r="I158" s="7"/>
      <c r="J158" s="7"/>
    </row>
    <row r="159">
      <c r="A159" s="3" t="s">
        <v>1222</v>
      </c>
      <c r="B159" s="3" t="s">
        <v>1223</v>
      </c>
      <c r="C159" s="33" t="s">
        <v>430</v>
      </c>
      <c r="D159" s="33" t="s">
        <v>185</v>
      </c>
      <c r="E159" s="3" t="s">
        <v>15</v>
      </c>
      <c r="F159" s="33" t="s">
        <v>1225</v>
      </c>
      <c r="G159" s="33" t="s">
        <v>245</v>
      </c>
      <c r="H159" s="33" t="s">
        <v>1226</v>
      </c>
      <c r="I159" s="7"/>
      <c r="J159" s="7"/>
    </row>
    <row r="160">
      <c r="A160" s="3" t="s">
        <v>1227</v>
      </c>
      <c r="B160" s="20" t="s">
        <v>1228</v>
      </c>
      <c r="C160" s="21" t="s">
        <v>430</v>
      </c>
      <c r="D160" s="21" t="s">
        <v>185</v>
      </c>
      <c r="E160" s="20" t="s">
        <v>15</v>
      </c>
      <c r="F160" s="21" t="s">
        <v>1230</v>
      </c>
      <c r="G160" s="21" t="s">
        <v>245</v>
      </c>
      <c r="H160" s="21" t="s">
        <v>1232</v>
      </c>
      <c r="I160" s="22"/>
      <c r="J160" s="22"/>
    </row>
    <row r="161">
      <c r="A161" s="3" t="s">
        <v>872</v>
      </c>
      <c r="B161" s="20" t="s">
        <v>873</v>
      </c>
      <c r="C161" s="21" t="s">
        <v>430</v>
      </c>
      <c r="D161" s="21" t="s">
        <v>185</v>
      </c>
      <c r="E161" s="20" t="s">
        <v>15</v>
      </c>
      <c r="F161" s="21" t="s">
        <v>1235</v>
      </c>
      <c r="G161" s="21" t="s">
        <v>245</v>
      </c>
      <c r="H161" s="21" t="s">
        <v>1237</v>
      </c>
      <c r="I161" s="22"/>
      <c r="J161" s="22"/>
    </row>
    <row r="162">
      <c r="A162" s="33" t="s">
        <v>1239</v>
      </c>
      <c r="B162" s="34" t="s">
        <v>1240</v>
      </c>
      <c r="C162" s="34" t="s">
        <v>430</v>
      </c>
      <c r="D162" s="34" t="s">
        <v>185</v>
      </c>
      <c r="E162" s="34" t="s">
        <v>15</v>
      </c>
      <c r="F162" s="34" t="s">
        <v>1244</v>
      </c>
      <c r="G162" s="34" t="s">
        <v>245</v>
      </c>
      <c r="H162" s="34" t="s">
        <v>1245</v>
      </c>
      <c r="I162" s="35"/>
      <c r="J162" s="35"/>
      <c r="K162" s="36"/>
      <c r="L162" s="36"/>
      <c r="M162" s="36"/>
      <c r="N162" s="36"/>
      <c r="O162" s="36"/>
      <c r="P162" s="36"/>
      <c r="Q162" s="36"/>
      <c r="R162" s="36"/>
      <c r="S162" s="36"/>
      <c r="T162" s="36"/>
      <c r="U162" s="36"/>
      <c r="V162" s="36"/>
      <c r="W162" s="36"/>
      <c r="X162" s="36"/>
      <c r="Y162" s="36"/>
      <c r="Z162" s="36"/>
    </row>
    <row r="163">
      <c r="A163" s="3" t="s">
        <v>1250</v>
      </c>
      <c r="B163" s="3" t="s">
        <v>1252</v>
      </c>
      <c r="C163" s="3" t="s">
        <v>430</v>
      </c>
      <c r="D163" s="3" t="s">
        <v>185</v>
      </c>
      <c r="E163" s="3" t="s">
        <v>15</v>
      </c>
      <c r="F163" s="33" t="s">
        <v>1254</v>
      </c>
      <c r="G163" s="33" t="s">
        <v>245</v>
      </c>
      <c r="H163" s="14" t="s">
        <v>1255</v>
      </c>
      <c r="I163" s="7"/>
      <c r="J163" s="7"/>
    </row>
    <row r="164">
      <c r="A164" s="31" t="s">
        <v>1259</v>
      </c>
    </row>
    <row r="165">
      <c r="A165" s="3" t="s">
        <v>439</v>
      </c>
      <c r="B165" s="3" t="s">
        <v>440</v>
      </c>
      <c r="C165" s="3" t="s">
        <v>430</v>
      </c>
      <c r="D165" s="3" t="s">
        <v>185</v>
      </c>
      <c r="E165" s="3" t="s">
        <v>15</v>
      </c>
      <c r="F165" s="3" t="s">
        <v>1263</v>
      </c>
      <c r="G165" s="3" t="s">
        <v>17</v>
      </c>
      <c r="H165" s="3" t="s">
        <v>1264</v>
      </c>
      <c r="I165" s="7"/>
      <c r="J165" s="7"/>
    </row>
    <row r="166">
      <c r="A166" s="17" t="s">
        <v>1267</v>
      </c>
      <c r="B166" s="17" t="s">
        <v>1269</v>
      </c>
      <c r="C166" s="17" t="s">
        <v>430</v>
      </c>
      <c r="D166" s="17" t="s">
        <v>185</v>
      </c>
      <c r="E166" s="17" t="s">
        <v>15</v>
      </c>
      <c r="F166" s="17" t="s">
        <v>1270</v>
      </c>
      <c r="G166" s="17" t="s">
        <v>245</v>
      </c>
      <c r="H166" s="17" t="s">
        <v>1271</v>
      </c>
      <c r="I166" s="18"/>
      <c r="J166" s="18"/>
    </row>
    <row r="167">
      <c r="A167" s="17" t="s">
        <v>741</v>
      </c>
      <c r="B167" s="17" t="s">
        <v>742</v>
      </c>
      <c r="C167" s="17" t="s">
        <v>430</v>
      </c>
      <c r="D167" s="17" t="s">
        <v>185</v>
      </c>
      <c r="E167" s="17" t="s">
        <v>15</v>
      </c>
      <c r="F167" s="17" t="s">
        <v>1276</v>
      </c>
      <c r="G167" s="17" t="s">
        <v>245</v>
      </c>
      <c r="H167" s="17" t="s">
        <v>1277</v>
      </c>
      <c r="I167" s="18"/>
      <c r="J167" s="18"/>
    </row>
    <row r="168">
      <c r="A168" s="17" t="s">
        <v>561</v>
      </c>
      <c r="B168" s="17" t="s">
        <v>563</v>
      </c>
      <c r="C168" s="17" t="s">
        <v>430</v>
      </c>
      <c r="D168" s="17" t="s">
        <v>185</v>
      </c>
      <c r="E168" s="17" t="s">
        <v>15</v>
      </c>
      <c r="F168" s="17" t="s">
        <v>1276</v>
      </c>
      <c r="G168" s="17" t="s">
        <v>245</v>
      </c>
      <c r="H168" s="17" t="s">
        <v>1281</v>
      </c>
      <c r="I168" s="18"/>
      <c r="J168" s="18"/>
    </row>
    <row r="169">
      <c r="A169" s="17" t="s">
        <v>1285</v>
      </c>
      <c r="B169" s="17" t="s">
        <v>597</v>
      </c>
      <c r="C169" s="17" t="s">
        <v>430</v>
      </c>
      <c r="D169" s="17" t="s">
        <v>185</v>
      </c>
      <c r="E169" s="17" t="s">
        <v>15</v>
      </c>
      <c r="F169" s="17" t="s">
        <v>1276</v>
      </c>
      <c r="G169" s="17" t="s">
        <v>245</v>
      </c>
      <c r="H169" s="17" t="s">
        <v>1288</v>
      </c>
      <c r="I169" s="18"/>
      <c r="J169" s="18"/>
    </row>
    <row r="170">
      <c r="A170" s="17" t="s">
        <v>556</v>
      </c>
      <c r="B170" s="17" t="s">
        <v>557</v>
      </c>
      <c r="C170" s="17" t="s">
        <v>430</v>
      </c>
      <c r="D170" s="17" t="s">
        <v>185</v>
      </c>
      <c r="E170" s="17" t="s">
        <v>15</v>
      </c>
      <c r="F170" s="17" t="s">
        <v>1276</v>
      </c>
      <c r="G170" s="17" t="s">
        <v>245</v>
      </c>
      <c r="H170" s="17" t="s">
        <v>1293</v>
      </c>
      <c r="I170" s="18"/>
      <c r="J170" s="18"/>
    </row>
    <row r="171">
      <c r="A171" s="17" t="s">
        <v>628</v>
      </c>
      <c r="B171" s="17" t="s">
        <v>1038</v>
      </c>
      <c r="C171" s="17" t="s">
        <v>430</v>
      </c>
      <c r="D171" s="17" t="s">
        <v>185</v>
      </c>
      <c r="E171" s="17" t="s">
        <v>15</v>
      </c>
      <c r="F171" s="17" t="s">
        <v>1276</v>
      </c>
      <c r="G171" s="17" t="s">
        <v>245</v>
      </c>
      <c r="H171" s="17" t="s">
        <v>1301</v>
      </c>
      <c r="I171" s="18"/>
      <c r="J171" s="18"/>
    </row>
    <row r="172">
      <c r="A172" s="17" t="s">
        <v>567</v>
      </c>
      <c r="B172" s="17" t="s">
        <v>568</v>
      </c>
      <c r="C172" s="17" t="s">
        <v>430</v>
      </c>
      <c r="D172" s="17" t="s">
        <v>185</v>
      </c>
      <c r="E172" s="17" t="s">
        <v>15</v>
      </c>
      <c r="F172" s="17" t="s">
        <v>1276</v>
      </c>
      <c r="G172" s="17" t="s">
        <v>245</v>
      </c>
      <c r="H172" s="17" t="s">
        <v>1308</v>
      </c>
      <c r="I172" s="18"/>
      <c r="J172" s="18"/>
    </row>
    <row r="173">
      <c r="A173" s="17" t="s">
        <v>574</v>
      </c>
      <c r="B173" s="17" t="s">
        <v>575</v>
      </c>
      <c r="C173" s="17" t="s">
        <v>430</v>
      </c>
      <c r="D173" s="17" t="s">
        <v>185</v>
      </c>
      <c r="E173" s="17" t="s">
        <v>15</v>
      </c>
      <c r="F173" s="17" t="s">
        <v>1276</v>
      </c>
      <c r="G173" s="17" t="s">
        <v>245</v>
      </c>
      <c r="H173" s="17" t="s">
        <v>1316</v>
      </c>
      <c r="I173" s="18"/>
      <c r="J173" s="18"/>
    </row>
    <row r="174">
      <c r="A174" s="17" t="s">
        <v>587</v>
      </c>
      <c r="B174" s="17" t="s">
        <v>589</v>
      </c>
      <c r="C174" s="17" t="s">
        <v>430</v>
      </c>
      <c r="D174" s="17" t="s">
        <v>185</v>
      </c>
      <c r="E174" s="17" t="s">
        <v>15</v>
      </c>
      <c r="F174" s="17" t="s">
        <v>1276</v>
      </c>
      <c r="G174" s="17" t="s">
        <v>245</v>
      </c>
      <c r="H174" s="17" t="s">
        <v>1322</v>
      </c>
      <c r="I174" s="18"/>
      <c r="J174" s="18"/>
    </row>
    <row r="175">
      <c r="A175" s="17" t="s">
        <v>747</v>
      </c>
      <c r="B175" s="17" t="s">
        <v>748</v>
      </c>
      <c r="C175" s="17" t="s">
        <v>430</v>
      </c>
      <c r="D175" s="17" t="s">
        <v>185</v>
      </c>
      <c r="E175" s="17" t="s">
        <v>15</v>
      </c>
      <c r="F175" s="17" t="s">
        <v>1276</v>
      </c>
      <c r="G175" s="17" t="s">
        <v>245</v>
      </c>
      <c r="H175" s="17" t="s">
        <v>1330</v>
      </c>
      <c r="I175" s="18"/>
      <c r="J175" s="18"/>
    </row>
    <row r="176">
      <c r="A176" s="17" t="s">
        <v>621</v>
      </c>
      <c r="B176" s="17" t="s">
        <v>624</v>
      </c>
      <c r="C176" s="17" t="s">
        <v>430</v>
      </c>
      <c r="D176" s="17" t="s">
        <v>185</v>
      </c>
      <c r="E176" s="17" t="s">
        <v>15</v>
      </c>
      <c r="F176" s="17" t="s">
        <v>1276</v>
      </c>
      <c r="G176" s="17" t="s">
        <v>245</v>
      </c>
      <c r="H176" s="17" t="s">
        <v>1334</v>
      </c>
      <c r="I176" s="18"/>
      <c r="J176" s="18"/>
    </row>
    <row r="177">
      <c r="A177" s="17" t="s">
        <v>611</v>
      </c>
      <c r="B177" s="17" t="s">
        <v>613</v>
      </c>
      <c r="C177" s="17" t="s">
        <v>430</v>
      </c>
      <c r="D177" s="17" t="s">
        <v>185</v>
      </c>
      <c r="E177" s="17" t="s">
        <v>15</v>
      </c>
      <c r="F177" s="17" t="s">
        <v>1276</v>
      </c>
      <c r="G177" s="17" t="s">
        <v>245</v>
      </c>
      <c r="H177" s="17" t="s">
        <v>1339</v>
      </c>
      <c r="I177" s="18"/>
      <c r="J177" s="18"/>
    </row>
    <row r="178">
      <c r="A178" s="17" t="s">
        <v>596</v>
      </c>
      <c r="B178" s="17" t="s">
        <v>597</v>
      </c>
      <c r="C178" s="17" t="s">
        <v>430</v>
      </c>
      <c r="D178" s="17" t="s">
        <v>185</v>
      </c>
      <c r="E178" s="17" t="s">
        <v>15</v>
      </c>
      <c r="F178" s="17" t="s">
        <v>1276</v>
      </c>
      <c r="G178" s="17" t="s">
        <v>245</v>
      </c>
      <c r="H178" s="17" t="s">
        <v>1288</v>
      </c>
      <c r="I178" s="18"/>
      <c r="J178" s="18"/>
    </row>
    <row r="179">
      <c r="A179" s="17" t="s">
        <v>1344</v>
      </c>
      <c r="B179" s="17" t="s">
        <v>1346</v>
      </c>
      <c r="C179" s="17" t="s">
        <v>430</v>
      </c>
      <c r="D179" s="17" t="s">
        <v>185</v>
      </c>
      <c r="E179" s="17" t="s">
        <v>15</v>
      </c>
      <c r="F179" s="17" t="s">
        <v>1276</v>
      </c>
      <c r="G179" s="17" t="s">
        <v>245</v>
      </c>
      <c r="H179" s="17" t="s">
        <v>1349</v>
      </c>
      <c r="I179" s="18"/>
      <c r="J179" s="18"/>
    </row>
    <row r="180">
      <c r="A180" s="17" t="s">
        <v>616</v>
      </c>
      <c r="B180" s="17" t="s">
        <v>618</v>
      </c>
      <c r="C180" s="17" t="s">
        <v>430</v>
      </c>
      <c r="D180" s="17" t="s">
        <v>185</v>
      </c>
      <c r="E180" s="17" t="s">
        <v>15</v>
      </c>
      <c r="F180" s="17" t="s">
        <v>1276</v>
      </c>
      <c r="G180" s="17" t="s">
        <v>245</v>
      </c>
      <c r="H180" s="17" t="s">
        <v>1358</v>
      </c>
      <c r="I180" s="18"/>
      <c r="J180" s="18"/>
    </row>
    <row r="181">
      <c r="A181" s="17" t="s">
        <v>604</v>
      </c>
      <c r="B181" s="17" t="s">
        <v>1362</v>
      </c>
      <c r="C181" s="17" t="s">
        <v>430</v>
      </c>
      <c r="D181" s="17" t="s">
        <v>185</v>
      </c>
      <c r="E181" s="17" t="s">
        <v>15</v>
      </c>
      <c r="F181" s="17" t="s">
        <v>1276</v>
      </c>
      <c r="G181" s="17" t="s">
        <v>245</v>
      </c>
      <c r="H181" s="17" t="s">
        <v>1363</v>
      </c>
      <c r="I181" s="18"/>
      <c r="J181" s="18"/>
    </row>
    <row r="182">
      <c r="A182" s="17" t="s">
        <v>1364</v>
      </c>
      <c r="B182" s="26" t="s">
        <v>1366</v>
      </c>
      <c r="C182" s="26" t="s">
        <v>430</v>
      </c>
      <c r="D182" s="26" t="s">
        <v>185</v>
      </c>
      <c r="E182" s="26" t="s">
        <v>15</v>
      </c>
      <c r="F182" s="26" t="s">
        <v>1367</v>
      </c>
      <c r="G182" s="26" t="s">
        <v>245</v>
      </c>
      <c r="H182" s="14" t="s">
        <v>1368</v>
      </c>
      <c r="I182" s="27"/>
      <c r="J182" s="27"/>
    </row>
    <row r="183">
      <c r="A183" s="17" t="s">
        <v>1369</v>
      </c>
      <c r="B183" s="26" t="s">
        <v>1370</v>
      </c>
      <c r="C183" s="26" t="s">
        <v>430</v>
      </c>
      <c r="D183" s="26" t="s">
        <v>185</v>
      </c>
      <c r="E183" s="26" t="s">
        <v>15</v>
      </c>
      <c r="F183" s="26" t="s">
        <v>1367</v>
      </c>
      <c r="G183" s="26" t="s">
        <v>245</v>
      </c>
      <c r="H183" s="14" t="s">
        <v>1371</v>
      </c>
      <c r="I183" s="27"/>
      <c r="J183" s="27"/>
    </row>
    <row r="184">
      <c r="A184" s="2" t="s">
        <v>1372</v>
      </c>
    </row>
    <row r="185">
      <c r="A185" s="17" t="s">
        <v>709</v>
      </c>
      <c r="B185" s="17" t="s">
        <v>710</v>
      </c>
      <c r="C185" s="17" t="s">
        <v>1373</v>
      </c>
      <c r="D185" s="17" t="s">
        <v>1374</v>
      </c>
      <c r="E185" s="17" t="s">
        <v>15</v>
      </c>
      <c r="F185" s="17" t="s">
        <v>1375</v>
      </c>
      <c r="G185" s="17" t="s">
        <v>245</v>
      </c>
      <c r="H185" s="17" t="s">
        <v>1376</v>
      </c>
      <c r="I185" s="18"/>
      <c r="J185" s="18"/>
    </row>
    <row r="186">
      <c r="A186" s="17" t="s">
        <v>720</v>
      </c>
      <c r="B186" s="17" t="s">
        <v>722</v>
      </c>
      <c r="C186" s="17" t="s">
        <v>1373</v>
      </c>
      <c r="D186" s="17" t="s">
        <v>1374</v>
      </c>
      <c r="E186" s="17" t="s">
        <v>15</v>
      </c>
      <c r="F186" s="17" t="s">
        <v>1379</v>
      </c>
      <c r="G186" s="17" t="s">
        <v>245</v>
      </c>
      <c r="H186" s="17" t="s">
        <v>1380</v>
      </c>
      <c r="I186" s="18"/>
      <c r="J186" s="18"/>
    </row>
    <row r="187">
      <c r="A187" s="17" t="s">
        <v>726</v>
      </c>
      <c r="B187" s="17" t="s">
        <v>728</v>
      </c>
      <c r="C187" s="17" t="s">
        <v>1373</v>
      </c>
      <c r="D187" s="17" t="s">
        <v>1374</v>
      </c>
      <c r="E187" s="17" t="s">
        <v>15</v>
      </c>
      <c r="F187" s="17" t="s">
        <v>1383</v>
      </c>
      <c r="G187" s="17" t="s">
        <v>245</v>
      </c>
      <c r="H187" s="17" t="s">
        <v>1384</v>
      </c>
      <c r="I187" s="18"/>
      <c r="J187" s="18"/>
    </row>
    <row r="188">
      <c r="A188" s="2" t="s">
        <v>1385</v>
      </c>
    </row>
    <row r="189">
      <c r="A189" s="17" t="s">
        <v>972</v>
      </c>
      <c r="B189" s="17" t="s">
        <v>974</v>
      </c>
      <c r="C189" s="17" t="s">
        <v>966</v>
      </c>
      <c r="D189" s="17" t="s">
        <v>14</v>
      </c>
      <c r="E189" s="17" t="s">
        <v>15</v>
      </c>
      <c r="F189" s="17" t="s">
        <v>1387</v>
      </c>
      <c r="G189" s="17" t="s">
        <v>245</v>
      </c>
      <c r="H189" s="17" t="s">
        <v>1388</v>
      </c>
      <c r="I189" s="18"/>
      <c r="J189" s="18"/>
    </row>
    <row r="190">
      <c r="A190" s="17" t="s">
        <v>1389</v>
      </c>
      <c r="B190" s="17" t="s">
        <v>1390</v>
      </c>
      <c r="C190" s="17" t="s">
        <v>966</v>
      </c>
      <c r="D190" s="17" t="s">
        <v>14</v>
      </c>
      <c r="E190" s="17" t="s">
        <v>15</v>
      </c>
      <c r="F190" s="17" t="s">
        <v>1391</v>
      </c>
      <c r="G190" s="17" t="s">
        <v>245</v>
      </c>
      <c r="H190" s="17" t="s">
        <v>1392</v>
      </c>
      <c r="I190" s="18"/>
      <c r="J190" s="18"/>
    </row>
    <row r="191">
      <c r="A191" s="17" t="s">
        <v>962</v>
      </c>
      <c r="B191" s="17" t="s">
        <v>963</v>
      </c>
      <c r="C191" s="17" t="s">
        <v>966</v>
      </c>
      <c r="D191" s="17" t="s">
        <v>14</v>
      </c>
      <c r="E191" s="17" t="s">
        <v>15</v>
      </c>
      <c r="F191" s="17" t="s">
        <v>1393</v>
      </c>
      <c r="G191" s="17" t="s">
        <v>245</v>
      </c>
      <c r="H191" s="17" t="s">
        <v>1394</v>
      </c>
      <c r="I191" s="18"/>
      <c r="J191" s="18"/>
    </row>
    <row r="192">
      <c r="A192" s="17" t="s">
        <v>1395</v>
      </c>
      <c r="B192" s="17" t="s">
        <v>1396</v>
      </c>
      <c r="C192" s="17" t="s">
        <v>966</v>
      </c>
      <c r="D192" s="17" t="s">
        <v>14</v>
      </c>
      <c r="E192" s="17" t="s">
        <v>15</v>
      </c>
      <c r="F192" s="17" t="s">
        <v>1397</v>
      </c>
      <c r="G192" s="17" t="s">
        <v>245</v>
      </c>
      <c r="H192" s="17" t="s">
        <v>1399</v>
      </c>
      <c r="I192" s="18"/>
      <c r="J192" s="18"/>
    </row>
    <row r="193">
      <c r="A193" s="17" t="s">
        <v>1401</v>
      </c>
      <c r="B193" s="17" t="s">
        <v>1402</v>
      </c>
      <c r="C193" s="17" t="s">
        <v>966</v>
      </c>
      <c r="D193" s="17" t="s">
        <v>14</v>
      </c>
      <c r="E193" s="17" t="s">
        <v>15</v>
      </c>
      <c r="F193" s="17" t="s">
        <v>1404</v>
      </c>
      <c r="G193" s="17" t="s">
        <v>245</v>
      </c>
      <c r="H193" s="17" t="s">
        <v>1405</v>
      </c>
      <c r="I193" s="18"/>
      <c r="J193" s="18"/>
    </row>
    <row r="194">
      <c r="A194" s="17" t="s">
        <v>1407</v>
      </c>
      <c r="B194" s="17" t="s">
        <v>1408</v>
      </c>
      <c r="C194" s="17" t="s">
        <v>966</v>
      </c>
      <c r="D194" s="17" t="s">
        <v>14</v>
      </c>
      <c r="E194" s="17" t="s">
        <v>15</v>
      </c>
      <c r="F194" s="17" t="s">
        <v>1409</v>
      </c>
      <c r="G194" s="17" t="s">
        <v>245</v>
      </c>
      <c r="H194" s="17" t="s">
        <v>1410</v>
      </c>
      <c r="I194" s="18"/>
      <c r="J194" s="18"/>
    </row>
    <row r="195">
      <c r="A195" s="17" t="s">
        <v>1411</v>
      </c>
      <c r="B195" s="17" t="s">
        <v>1412</v>
      </c>
      <c r="C195" s="17" t="s">
        <v>966</v>
      </c>
      <c r="D195" s="17" t="s">
        <v>14</v>
      </c>
      <c r="E195" s="17" t="s">
        <v>15</v>
      </c>
      <c r="F195" s="17" t="s">
        <v>1414</v>
      </c>
      <c r="G195" s="17" t="s">
        <v>245</v>
      </c>
      <c r="H195" s="17" t="s">
        <v>1415</v>
      </c>
      <c r="I195" s="17" t="s">
        <v>1416</v>
      </c>
      <c r="J195" s="18"/>
    </row>
    <row r="196">
      <c r="A196" s="17" t="s">
        <v>1417</v>
      </c>
      <c r="B196" s="17" t="s">
        <v>1418</v>
      </c>
      <c r="C196" s="17" t="s">
        <v>966</v>
      </c>
      <c r="D196" s="17" t="s">
        <v>14</v>
      </c>
      <c r="E196" s="17" t="s">
        <v>15</v>
      </c>
      <c r="F196" s="17" t="s">
        <v>1419</v>
      </c>
      <c r="G196" s="17" t="s">
        <v>245</v>
      </c>
      <c r="H196" s="17" t="s">
        <v>1420</v>
      </c>
      <c r="I196" s="18"/>
      <c r="J196" s="18"/>
    </row>
    <row r="197">
      <c r="A197" s="17" t="s">
        <v>1421</v>
      </c>
      <c r="B197" s="17" t="s">
        <v>1422</v>
      </c>
      <c r="C197" s="17" t="s">
        <v>966</v>
      </c>
      <c r="D197" s="17" t="s">
        <v>14</v>
      </c>
      <c r="E197" s="17" t="s">
        <v>15</v>
      </c>
      <c r="F197" s="17" t="s">
        <v>1423</v>
      </c>
      <c r="G197" s="17" t="s">
        <v>245</v>
      </c>
      <c r="H197" s="17" t="s">
        <v>1424</v>
      </c>
      <c r="I197" s="18"/>
      <c r="J197" s="18"/>
    </row>
    <row r="198">
      <c r="A198" s="17" t="s">
        <v>1425</v>
      </c>
      <c r="B198" s="17" t="s">
        <v>1426</v>
      </c>
      <c r="C198" s="17" t="s">
        <v>966</v>
      </c>
      <c r="D198" s="17" t="s">
        <v>14</v>
      </c>
      <c r="E198" s="17" t="s">
        <v>15</v>
      </c>
      <c r="F198" s="17" t="s">
        <v>1427</v>
      </c>
      <c r="G198" s="17" t="s">
        <v>245</v>
      </c>
      <c r="H198" s="17" t="s">
        <v>1428</v>
      </c>
      <c r="I198" s="18"/>
      <c r="J198" s="18"/>
    </row>
    <row r="199">
      <c r="A199" s="17" t="s">
        <v>1429</v>
      </c>
      <c r="B199" s="17" t="s">
        <v>1430</v>
      </c>
      <c r="C199" s="17" t="s">
        <v>966</v>
      </c>
      <c r="D199" s="17" t="s">
        <v>14</v>
      </c>
      <c r="E199" s="17" t="s">
        <v>15</v>
      </c>
      <c r="F199" s="17" t="s">
        <v>1431</v>
      </c>
      <c r="G199" s="17" t="s">
        <v>245</v>
      </c>
      <c r="H199" s="17" t="s">
        <v>1432</v>
      </c>
      <c r="I199" s="18"/>
      <c r="J199" s="18"/>
    </row>
    <row r="200">
      <c r="A200" s="17" t="s">
        <v>1434</v>
      </c>
      <c r="B200" s="17" t="s">
        <v>1435</v>
      </c>
      <c r="C200" s="17" t="s">
        <v>966</v>
      </c>
      <c r="D200" s="17" t="s">
        <v>14</v>
      </c>
      <c r="E200" s="17" t="s">
        <v>15</v>
      </c>
      <c r="F200" s="17" t="s">
        <v>1437</v>
      </c>
      <c r="G200" s="17" t="s">
        <v>245</v>
      </c>
      <c r="H200" s="17" t="s">
        <v>1438</v>
      </c>
      <c r="I200" s="18"/>
      <c r="J200" s="18"/>
    </row>
    <row r="201">
      <c r="A201" s="17" t="s">
        <v>1440</v>
      </c>
      <c r="B201" s="17" t="s">
        <v>1441</v>
      </c>
      <c r="C201" s="17" t="s">
        <v>966</v>
      </c>
      <c r="D201" s="17" t="s">
        <v>14</v>
      </c>
      <c r="E201" s="17" t="s">
        <v>15</v>
      </c>
      <c r="F201" s="17" t="s">
        <v>1443</v>
      </c>
      <c r="G201" s="17" t="s">
        <v>245</v>
      </c>
      <c r="H201" s="17" t="s">
        <v>1444</v>
      </c>
      <c r="I201" s="18"/>
      <c r="J201" s="18"/>
    </row>
    <row r="202">
      <c r="A202" s="17" t="s">
        <v>1445</v>
      </c>
      <c r="B202" s="26" t="s">
        <v>1446</v>
      </c>
      <c r="C202" s="26" t="s">
        <v>966</v>
      </c>
      <c r="D202" s="26" t="s">
        <v>14</v>
      </c>
      <c r="E202" s="17" t="s">
        <v>15</v>
      </c>
      <c r="F202" s="26" t="s">
        <v>1447</v>
      </c>
      <c r="G202" s="26" t="s">
        <v>245</v>
      </c>
      <c r="H202" s="26" t="s">
        <v>1448</v>
      </c>
      <c r="I202" s="27"/>
      <c r="J202" s="27"/>
    </row>
    <row r="203">
      <c r="A203" s="17" t="s">
        <v>1449</v>
      </c>
      <c r="B203" s="26" t="s">
        <v>1450</v>
      </c>
      <c r="C203" s="26" t="s">
        <v>966</v>
      </c>
      <c r="D203" s="26" t="s">
        <v>14</v>
      </c>
      <c r="E203" s="17" t="s">
        <v>15</v>
      </c>
      <c r="F203" s="26" t="s">
        <v>1452</v>
      </c>
      <c r="G203" s="26" t="s">
        <v>245</v>
      </c>
      <c r="H203" s="26" t="s">
        <v>1453</v>
      </c>
      <c r="I203" s="27"/>
      <c r="J203" s="27"/>
    </row>
    <row r="204">
      <c r="A204" s="17" t="s">
        <v>1454</v>
      </c>
      <c r="B204" s="26" t="s">
        <v>1455</v>
      </c>
      <c r="C204" s="26" t="s">
        <v>966</v>
      </c>
      <c r="D204" s="26" t="s">
        <v>14</v>
      </c>
      <c r="E204" s="17" t="s">
        <v>15</v>
      </c>
      <c r="F204" s="26" t="s">
        <v>1456</v>
      </c>
      <c r="G204" s="26" t="s">
        <v>245</v>
      </c>
      <c r="H204" s="26" t="s">
        <v>1457</v>
      </c>
      <c r="I204" s="27"/>
      <c r="J204" s="27"/>
    </row>
    <row r="205">
      <c r="A205" s="2" t="s">
        <v>1458</v>
      </c>
    </row>
    <row r="206">
      <c r="A206" s="17" t="s">
        <v>1459</v>
      </c>
      <c r="B206" s="17" t="s">
        <v>1460</v>
      </c>
      <c r="C206" s="17" t="s">
        <v>861</v>
      </c>
      <c r="D206" s="17" t="s">
        <v>14</v>
      </c>
      <c r="E206" s="17" t="s">
        <v>15</v>
      </c>
      <c r="F206" s="17" t="s">
        <v>1461</v>
      </c>
      <c r="G206" s="17" t="s">
        <v>245</v>
      </c>
      <c r="H206" s="17" t="s">
        <v>1462</v>
      </c>
      <c r="I206" s="18"/>
      <c r="J206" s="18"/>
    </row>
    <row r="207">
      <c r="A207" s="17" t="s">
        <v>857</v>
      </c>
      <c r="B207" s="17" t="s">
        <v>860</v>
      </c>
      <c r="C207" s="17" t="s">
        <v>861</v>
      </c>
      <c r="D207" s="17" t="s">
        <v>14</v>
      </c>
      <c r="E207" s="17" t="s">
        <v>15</v>
      </c>
      <c r="F207" s="17" t="s">
        <v>1463</v>
      </c>
      <c r="G207" s="17" t="s">
        <v>245</v>
      </c>
      <c r="H207" s="17" t="s">
        <v>1464</v>
      </c>
      <c r="I207" s="18"/>
      <c r="J207" s="18"/>
    </row>
    <row r="208">
      <c r="A208" s="17" t="s">
        <v>1465</v>
      </c>
      <c r="B208" s="17" t="s">
        <v>1466</v>
      </c>
      <c r="C208" s="17" t="s">
        <v>861</v>
      </c>
      <c r="D208" s="17" t="s">
        <v>14</v>
      </c>
      <c r="E208" s="17" t="s">
        <v>15</v>
      </c>
      <c r="F208" s="17" t="s">
        <v>1468</v>
      </c>
      <c r="G208" s="17" t="s">
        <v>245</v>
      </c>
      <c r="H208" s="17" t="s">
        <v>1470</v>
      </c>
      <c r="I208" s="18"/>
      <c r="J208" s="18"/>
    </row>
    <row r="209">
      <c r="A209" s="17" t="s">
        <v>1472</v>
      </c>
      <c r="B209" s="17" t="s">
        <v>1473</v>
      </c>
      <c r="C209" s="17" t="s">
        <v>861</v>
      </c>
      <c r="D209" s="17" t="s">
        <v>14</v>
      </c>
      <c r="E209" s="17" t="s">
        <v>15</v>
      </c>
      <c r="F209" s="17" t="s">
        <v>1475</v>
      </c>
      <c r="G209" s="17" t="s">
        <v>245</v>
      </c>
      <c r="H209" s="17" t="s">
        <v>1476</v>
      </c>
      <c r="I209" s="18"/>
      <c r="J209" s="18"/>
    </row>
    <row r="210">
      <c r="A210" s="17" t="s">
        <v>1477</v>
      </c>
      <c r="B210" s="17" t="s">
        <v>1478</v>
      </c>
      <c r="C210" s="17" t="s">
        <v>861</v>
      </c>
      <c r="D210" s="17" t="s">
        <v>14</v>
      </c>
      <c r="E210" s="17" t="s">
        <v>15</v>
      </c>
      <c r="F210" s="17" t="s">
        <v>1479</v>
      </c>
      <c r="G210" s="17" t="s">
        <v>245</v>
      </c>
      <c r="H210" s="17" t="s">
        <v>1480</v>
      </c>
      <c r="I210" s="18"/>
      <c r="J210" s="18"/>
    </row>
    <row r="211">
      <c r="A211" s="17" t="s">
        <v>1482</v>
      </c>
      <c r="B211" s="17" t="s">
        <v>1483</v>
      </c>
      <c r="C211" s="17" t="s">
        <v>861</v>
      </c>
      <c r="D211" s="17" t="s">
        <v>14</v>
      </c>
      <c r="E211" s="17" t="s">
        <v>15</v>
      </c>
      <c r="F211" s="17" t="s">
        <v>1484</v>
      </c>
      <c r="G211" s="17" t="s">
        <v>245</v>
      </c>
      <c r="H211" s="17" t="s">
        <v>1485</v>
      </c>
      <c r="I211" s="18"/>
      <c r="J211" s="18"/>
    </row>
    <row r="212">
      <c r="A212" s="17" t="s">
        <v>1486</v>
      </c>
      <c r="B212" s="17" t="s">
        <v>1487</v>
      </c>
      <c r="C212" s="17" t="s">
        <v>861</v>
      </c>
      <c r="D212" s="17" t="s">
        <v>14</v>
      </c>
      <c r="E212" s="17" t="s">
        <v>15</v>
      </c>
      <c r="F212" s="17" t="s">
        <v>1488</v>
      </c>
      <c r="G212" s="17" t="s">
        <v>245</v>
      </c>
      <c r="H212" s="17" t="s">
        <v>1489</v>
      </c>
      <c r="I212" s="18"/>
      <c r="J212" s="18"/>
    </row>
    <row r="213">
      <c r="A213" s="17" t="s">
        <v>1490</v>
      </c>
      <c r="B213" s="17" t="s">
        <v>1491</v>
      </c>
      <c r="C213" s="17" t="s">
        <v>861</v>
      </c>
      <c r="D213" s="17" t="s">
        <v>14</v>
      </c>
      <c r="E213" s="17" t="s">
        <v>15</v>
      </c>
      <c r="F213" s="17" t="s">
        <v>1492</v>
      </c>
      <c r="G213" s="17" t="s">
        <v>245</v>
      </c>
      <c r="H213" s="17" t="s">
        <v>1493</v>
      </c>
      <c r="I213" s="18"/>
      <c r="J213" s="18"/>
    </row>
    <row r="214">
      <c r="A214" s="17" t="s">
        <v>1494</v>
      </c>
      <c r="B214" s="17" t="s">
        <v>1495</v>
      </c>
      <c r="C214" s="17" t="s">
        <v>861</v>
      </c>
      <c r="D214" s="17" t="s">
        <v>14</v>
      </c>
      <c r="E214" s="17" t="s">
        <v>15</v>
      </c>
      <c r="F214" s="17" t="s">
        <v>1496</v>
      </c>
      <c r="G214" s="17" t="s">
        <v>245</v>
      </c>
      <c r="H214" s="17" t="s">
        <v>1497</v>
      </c>
      <c r="I214" s="18"/>
      <c r="J214" s="18"/>
    </row>
    <row r="215">
      <c r="A215" s="17" t="s">
        <v>1498</v>
      </c>
      <c r="B215" s="17" t="s">
        <v>1500</v>
      </c>
      <c r="C215" s="17" t="s">
        <v>861</v>
      </c>
      <c r="D215" s="17" t="s">
        <v>14</v>
      </c>
      <c r="E215" s="17" t="s">
        <v>15</v>
      </c>
      <c r="F215" s="17" t="s">
        <v>1502</v>
      </c>
      <c r="G215" s="17" t="s">
        <v>245</v>
      </c>
      <c r="H215" s="17" t="s">
        <v>1503</v>
      </c>
      <c r="I215" s="18"/>
      <c r="J215" s="18"/>
    </row>
    <row r="216">
      <c r="A216" s="17" t="s">
        <v>1505</v>
      </c>
      <c r="B216" s="17" t="s">
        <v>1507</v>
      </c>
      <c r="C216" s="17" t="s">
        <v>861</v>
      </c>
      <c r="D216" s="17" t="s">
        <v>14</v>
      </c>
      <c r="E216" s="17" t="s">
        <v>15</v>
      </c>
      <c r="F216" s="17" t="s">
        <v>1508</v>
      </c>
      <c r="G216" s="17" t="s">
        <v>245</v>
      </c>
      <c r="H216" s="17" t="s">
        <v>1509</v>
      </c>
      <c r="I216" s="18"/>
      <c r="J216" s="18"/>
    </row>
    <row r="217">
      <c r="A217" s="17" t="s">
        <v>1510</v>
      </c>
      <c r="B217" s="17" t="s">
        <v>1511</v>
      </c>
      <c r="C217" s="17" t="s">
        <v>861</v>
      </c>
      <c r="D217" s="17" t="s">
        <v>14</v>
      </c>
      <c r="E217" s="17" t="s">
        <v>15</v>
      </c>
      <c r="F217" s="17" t="s">
        <v>1512</v>
      </c>
      <c r="G217" s="17" t="s">
        <v>245</v>
      </c>
      <c r="H217" s="17" t="s">
        <v>1514</v>
      </c>
      <c r="I217" s="18"/>
      <c r="J217" s="18"/>
    </row>
    <row r="218">
      <c r="A218" s="38" t="s">
        <v>1515</v>
      </c>
      <c r="K218" s="36"/>
      <c r="L218" s="36"/>
      <c r="M218" s="36"/>
      <c r="N218" s="36"/>
      <c r="O218" s="36"/>
      <c r="P218" s="36"/>
      <c r="Q218" s="36"/>
      <c r="R218" s="36"/>
      <c r="S218" s="36"/>
      <c r="T218" s="36"/>
      <c r="U218" s="36"/>
      <c r="V218" s="36"/>
      <c r="W218" s="36"/>
      <c r="X218" s="36"/>
      <c r="Y218" s="36"/>
      <c r="Z218" s="36"/>
    </row>
    <row r="219">
      <c r="A219" s="17" t="s">
        <v>1516</v>
      </c>
      <c r="B219" s="17" t="s">
        <v>1517</v>
      </c>
      <c r="C219" s="17" t="s">
        <v>1518</v>
      </c>
      <c r="D219" s="17" t="s">
        <v>14</v>
      </c>
      <c r="E219" s="17" t="s">
        <v>15</v>
      </c>
      <c r="F219" s="17" t="s">
        <v>1519</v>
      </c>
      <c r="G219" s="17" t="s">
        <v>245</v>
      </c>
      <c r="H219" s="17" t="s">
        <v>1520</v>
      </c>
      <c r="I219" s="18"/>
      <c r="J219" s="18"/>
    </row>
    <row r="220">
      <c r="A220" s="17" t="s">
        <v>1522</v>
      </c>
      <c r="B220" s="17" t="s">
        <v>1523</v>
      </c>
      <c r="C220" s="17" t="s">
        <v>1518</v>
      </c>
      <c r="D220" s="17" t="s">
        <v>14</v>
      </c>
      <c r="E220" s="17" t="s">
        <v>15</v>
      </c>
      <c r="F220" s="17" t="s">
        <v>1524</v>
      </c>
      <c r="G220" s="17" t="s">
        <v>245</v>
      </c>
      <c r="H220" s="17" t="s">
        <v>1525</v>
      </c>
      <c r="I220" s="18"/>
      <c r="J220" s="18"/>
    </row>
    <row r="221">
      <c r="A221" s="2" t="s">
        <v>1527</v>
      </c>
    </row>
    <row r="222">
      <c r="A222" s="17" t="s">
        <v>1529</v>
      </c>
      <c r="B222" s="17" t="s">
        <v>1530</v>
      </c>
      <c r="C222" s="17" t="s">
        <v>958</v>
      </c>
      <c r="D222" s="17" t="s">
        <v>14</v>
      </c>
      <c r="E222" s="17" t="s">
        <v>15</v>
      </c>
      <c r="F222" s="17" t="s">
        <v>1533</v>
      </c>
      <c r="G222" s="17" t="s">
        <v>245</v>
      </c>
      <c r="H222" s="17" t="s">
        <v>1534</v>
      </c>
      <c r="I222" s="19" t="s">
        <v>1535</v>
      </c>
      <c r="J222" s="18"/>
    </row>
    <row r="223">
      <c r="A223" s="17" t="s">
        <v>953</v>
      </c>
      <c r="B223" s="26" t="s">
        <v>956</v>
      </c>
      <c r="C223" s="26" t="s">
        <v>958</v>
      </c>
      <c r="D223" s="26" t="s">
        <v>14</v>
      </c>
      <c r="E223" s="26" t="s">
        <v>15</v>
      </c>
      <c r="F223" s="26" t="s">
        <v>1538</v>
      </c>
      <c r="G223" s="26" t="s">
        <v>245</v>
      </c>
      <c r="H223" s="26" t="s">
        <v>1541</v>
      </c>
      <c r="I223" s="39"/>
      <c r="J223" s="27"/>
    </row>
    <row r="224">
      <c r="A224" s="17" t="s">
        <v>994</v>
      </c>
      <c r="B224" s="14" t="s">
        <v>995</v>
      </c>
      <c r="C224" s="26" t="s">
        <v>958</v>
      </c>
      <c r="D224" s="26" t="s">
        <v>185</v>
      </c>
      <c r="E224" s="26" t="s">
        <v>15</v>
      </c>
      <c r="F224" s="14" t="s">
        <v>1546</v>
      </c>
      <c r="G224" s="26" t="s">
        <v>245</v>
      </c>
      <c r="H224" s="14" t="s">
        <v>1548</v>
      </c>
      <c r="I224" s="39"/>
      <c r="J224" s="27"/>
    </row>
    <row r="225">
      <c r="A225" s="2" t="s">
        <v>1551</v>
      </c>
    </row>
    <row r="226">
      <c r="A226" s="17" t="s">
        <v>946</v>
      </c>
      <c r="B226" s="17" t="s">
        <v>947</v>
      </c>
      <c r="C226" s="17" t="s">
        <v>893</v>
      </c>
      <c r="D226" s="17" t="s">
        <v>14</v>
      </c>
      <c r="E226" s="17" t="s">
        <v>15</v>
      </c>
      <c r="F226" s="17" t="s">
        <v>1555</v>
      </c>
      <c r="G226" s="17" t="s">
        <v>245</v>
      </c>
      <c r="H226" s="17" t="s">
        <v>1557</v>
      </c>
      <c r="I226" s="19" t="s">
        <v>1559</v>
      </c>
      <c r="J226" s="18"/>
    </row>
    <row r="227">
      <c r="A227" s="17" t="s">
        <v>889</v>
      </c>
      <c r="B227" s="17" t="s">
        <v>892</v>
      </c>
      <c r="C227" s="17" t="s">
        <v>893</v>
      </c>
      <c r="D227" s="17" t="s">
        <v>14</v>
      </c>
      <c r="E227" s="17" t="s">
        <v>15</v>
      </c>
      <c r="F227" s="17" t="s">
        <v>1562</v>
      </c>
      <c r="G227" s="17" t="s">
        <v>245</v>
      </c>
      <c r="H227" s="17" t="s">
        <v>1564</v>
      </c>
      <c r="I227" s="18"/>
      <c r="J227" s="18"/>
    </row>
    <row r="228">
      <c r="A228" s="17" t="s">
        <v>932</v>
      </c>
      <c r="B228" s="17" t="s">
        <v>934</v>
      </c>
      <c r="C228" s="17" t="s">
        <v>893</v>
      </c>
      <c r="D228" s="17" t="s">
        <v>14</v>
      </c>
      <c r="E228" s="17" t="s">
        <v>15</v>
      </c>
      <c r="F228" s="17" t="s">
        <v>1567</v>
      </c>
      <c r="G228" s="17" t="s">
        <v>245</v>
      </c>
      <c r="H228" s="17" t="s">
        <v>1569</v>
      </c>
      <c r="I228" s="17" t="s">
        <v>1570</v>
      </c>
      <c r="J228" s="18"/>
    </row>
    <row r="229">
      <c r="A229" s="17" t="s">
        <v>916</v>
      </c>
      <c r="B229" s="17" t="s">
        <v>918</v>
      </c>
      <c r="C229" s="17" t="s">
        <v>893</v>
      </c>
      <c r="D229" s="17" t="s">
        <v>14</v>
      </c>
      <c r="E229" s="17" t="s">
        <v>15</v>
      </c>
      <c r="F229" s="17" t="s">
        <v>1576</v>
      </c>
      <c r="G229" s="17" t="s">
        <v>245</v>
      </c>
      <c r="H229" s="17" t="s">
        <v>1579</v>
      </c>
      <c r="I229" s="18"/>
      <c r="J229" s="18"/>
    </row>
    <row r="230">
      <c r="A230" s="17" t="s">
        <v>926</v>
      </c>
      <c r="B230" s="17" t="s">
        <v>928</v>
      </c>
      <c r="C230" s="17" t="s">
        <v>893</v>
      </c>
      <c r="D230" s="17" t="s">
        <v>14</v>
      </c>
      <c r="E230" s="17" t="s">
        <v>15</v>
      </c>
      <c r="F230" s="17" t="s">
        <v>1584</v>
      </c>
      <c r="G230" s="17" t="s">
        <v>245</v>
      </c>
      <c r="H230" s="17" t="s">
        <v>1586</v>
      </c>
      <c r="I230" s="18"/>
      <c r="J230" s="18"/>
    </row>
    <row r="231">
      <c r="A231" s="17" t="s">
        <v>900</v>
      </c>
      <c r="B231" s="17" t="s">
        <v>901</v>
      </c>
      <c r="C231" s="17" t="s">
        <v>893</v>
      </c>
      <c r="D231" s="17" t="s">
        <v>14</v>
      </c>
      <c r="E231" s="17" t="s">
        <v>15</v>
      </c>
      <c r="F231" s="17" t="s">
        <v>1594</v>
      </c>
      <c r="G231" s="17" t="s">
        <v>245</v>
      </c>
      <c r="H231" s="17" t="s">
        <v>1596</v>
      </c>
      <c r="I231" s="18"/>
      <c r="J231" s="18"/>
    </row>
    <row r="232">
      <c r="A232" s="17" t="s">
        <v>939</v>
      </c>
      <c r="B232" s="17" t="s">
        <v>940</v>
      </c>
      <c r="C232" s="17" t="s">
        <v>893</v>
      </c>
      <c r="D232" s="17" t="s">
        <v>14</v>
      </c>
      <c r="E232" s="17" t="s">
        <v>15</v>
      </c>
      <c r="F232" s="17" t="s">
        <v>1603</v>
      </c>
      <c r="G232" s="17" t="s">
        <v>245</v>
      </c>
      <c r="H232" s="17" t="s">
        <v>1605</v>
      </c>
      <c r="I232" s="18"/>
      <c r="J232" s="18"/>
    </row>
    <row r="233">
      <c r="A233" s="17" t="s">
        <v>910</v>
      </c>
      <c r="B233" s="17" t="s">
        <v>912</v>
      </c>
      <c r="C233" s="17" t="s">
        <v>893</v>
      </c>
      <c r="D233" s="17" t="s">
        <v>14</v>
      </c>
      <c r="E233" s="17" t="s">
        <v>15</v>
      </c>
      <c r="F233" s="17" t="s">
        <v>1612</v>
      </c>
      <c r="G233" s="17" t="s">
        <v>245</v>
      </c>
      <c r="H233" s="17" t="s">
        <v>1614</v>
      </c>
      <c r="I233" s="18"/>
      <c r="J233" s="18"/>
    </row>
    <row r="234">
      <c r="E234" s="40"/>
    </row>
    <row r="235">
      <c r="E235" s="40"/>
    </row>
    <row r="236">
      <c r="B236" s="14" t="s">
        <v>1625</v>
      </c>
      <c r="E236" s="40"/>
    </row>
    <row r="237">
      <c r="E237" s="40"/>
    </row>
    <row r="238">
      <c r="E238" s="40"/>
    </row>
    <row r="239">
      <c r="E239" s="40"/>
    </row>
    <row r="240">
      <c r="E240" s="40"/>
    </row>
    <row r="241">
      <c r="E241" s="40"/>
    </row>
    <row r="242">
      <c r="E242" s="40"/>
    </row>
    <row r="243">
      <c r="E243" s="40"/>
    </row>
    <row r="244">
      <c r="E244" s="40"/>
    </row>
    <row r="245">
      <c r="E245" s="40"/>
    </row>
    <row r="246">
      <c r="E246" s="40"/>
    </row>
    <row r="247">
      <c r="E247" s="40"/>
    </row>
    <row r="248">
      <c r="E248" s="40"/>
    </row>
    <row r="249">
      <c r="E249" s="40"/>
    </row>
    <row r="250">
      <c r="E250" s="40"/>
    </row>
    <row r="251">
      <c r="E251" s="40"/>
    </row>
    <row r="252">
      <c r="E252" s="40"/>
    </row>
    <row r="253">
      <c r="E253" s="40"/>
    </row>
    <row r="254">
      <c r="E254" s="40"/>
    </row>
    <row r="255">
      <c r="E255" s="40"/>
    </row>
    <row r="256">
      <c r="E256" s="40"/>
    </row>
    <row r="257">
      <c r="E257" s="40"/>
    </row>
    <row r="258">
      <c r="E258" s="40"/>
    </row>
    <row r="259">
      <c r="E259" s="40"/>
    </row>
    <row r="260">
      <c r="E260" s="40"/>
    </row>
    <row r="261">
      <c r="E261" s="40"/>
    </row>
    <row r="262">
      <c r="E262" s="40"/>
    </row>
    <row r="263">
      <c r="E263" s="40"/>
    </row>
    <row r="264">
      <c r="E264" s="40"/>
    </row>
    <row r="265">
      <c r="E265" s="40"/>
    </row>
    <row r="266">
      <c r="E266" s="40"/>
    </row>
    <row r="267">
      <c r="E267" s="40"/>
    </row>
    <row r="268">
      <c r="E268" s="40"/>
    </row>
    <row r="269">
      <c r="E269" s="40"/>
    </row>
    <row r="270">
      <c r="E270" s="40"/>
    </row>
    <row r="271">
      <c r="E271" s="40"/>
    </row>
    <row r="272">
      <c r="E272" s="40"/>
    </row>
    <row r="273">
      <c r="E273" s="40"/>
    </row>
    <row r="274">
      <c r="E274" s="40"/>
    </row>
    <row r="275">
      <c r="E275" s="40"/>
    </row>
    <row r="276">
      <c r="E276" s="40"/>
    </row>
    <row r="277">
      <c r="E277" s="40"/>
    </row>
    <row r="278">
      <c r="E278" s="40"/>
    </row>
    <row r="279">
      <c r="E279" s="40"/>
    </row>
    <row r="280">
      <c r="E280" s="40"/>
    </row>
    <row r="281">
      <c r="E281" s="40"/>
    </row>
    <row r="282">
      <c r="E282" s="40"/>
    </row>
    <row r="283">
      <c r="E283" s="40"/>
    </row>
    <row r="284">
      <c r="E284" s="40"/>
    </row>
    <row r="285">
      <c r="E285" s="40"/>
    </row>
    <row r="286">
      <c r="E286" s="40"/>
    </row>
    <row r="287">
      <c r="E287" s="40"/>
    </row>
    <row r="288">
      <c r="E288" s="40"/>
    </row>
    <row r="289">
      <c r="E289" s="40"/>
    </row>
    <row r="290">
      <c r="E290" s="40"/>
    </row>
    <row r="291">
      <c r="E291" s="40"/>
    </row>
    <row r="292">
      <c r="E292" s="40"/>
    </row>
    <row r="293">
      <c r="E293" s="40"/>
    </row>
    <row r="294">
      <c r="E294" s="40"/>
    </row>
    <row r="295">
      <c r="E295" s="40"/>
    </row>
    <row r="296">
      <c r="E296" s="40"/>
    </row>
    <row r="297">
      <c r="E297" s="40"/>
    </row>
    <row r="298">
      <c r="E298" s="40"/>
    </row>
    <row r="299">
      <c r="E299" s="40"/>
    </row>
    <row r="300">
      <c r="E300" s="40"/>
    </row>
    <row r="301">
      <c r="E301" s="40"/>
    </row>
    <row r="302">
      <c r="E302" s="40"/>
    </row>
    <row r="303">
      <c r="E303" s="40"/>
    </row>
    <row r="304">
      <c r="E304" s="40"/>
    </row>
    <row r="305">
      <c r="E305" s="40"/>
    </row>
    <row r="306">
      <c r="E306" s="40"/>
    </row>
    <row r="307">
      <c r="E307" s="40"/>
    </row>
    <row r="308">
      <c r="E308" s="40"/>
    </row>
    <row r="309">
      <c r="E309" s="40"/>
    </row>
    <row r="310">
      <c r="E310" s="40"/>
    </row>
    <row r="311">
      <c r="E311" s="40"/>
    </row>
    <row r="312">
      <c r="E312" s="40"/>
    </row>
    <row r="313">
      <c r="E313" s="40"/>
    </row>
    <row r="314">
      <c r="E314" s="40"/>
    </row>
    <row r="315">
      <c r="E315" s="40"/>
    </row>
    <row r="316">
      <c r="E316" s="40"/>
    </row>
    <row r="317">
      <c r="E317" s="40"/>
    </row>
    <row r="318">
      <c r="E318" s="40"/>
    </row>
    <row r="319">
      <c r="E319" s="40"/>
    </row>
    <row r="320">
      <c r="E320" s="40"/>
    </row>
    <row r="321">
      <c r="E321" s="40"/>
    </row>
    <row r="322">
      <c r="E322" s="40"/>
    </row>
    <row r="323">
      <c r="E323" s="40"/>
    </row>
    <row r="324">
      <c r="E324" s="40"/>
    </row>
    <row r="325">
      <c r="E325" s="40"/>
    </row>
    <row r="326">
      <c r="E326" s="40"/>
    </row>
    <row r="327">
      <c r="E327" s="40"/>
    </row>
    <row r="328">
      <c r="E328" s="40"/>
    </row>
    <row r="329">
      <c r="E329" s="40"/>
    </row>
    <row r="330">
      <c r="E330" s="40"/>
    </row>
    <row r="331">
      <c r="E331" s="40"/>
    </row>
    <row r="332">
      <c r="E332" s="40"/>
    </row>
    <row r="333">
      <c r="E333" s="40"/>
    </row>
    <row r="334">
      <c r="E334" s="40"/>
    </row>
    <row r="335">
      <c r="E335" s="40"/>
    </row>
    <row r="336">
      <c r="E336" s="40"/>
    </row>
    <row r="337">
      <c r="E337" s="40"/>
    </row>
    <row r="338">
      <c r="E338" s="40"/>
    </row>
    <row r="339">
      <c r="E339" s="40"/>
    </row>
    <row r="340">
      <c r="E340" s="40"/>
    </row>
    <row r="341">
      <c r="E341" s="40"/>
    </row>
    <row r="342">
      <c r="E342" s="40"/>
    </row>
    <row r="343">
      <c r="E343" s="40"/>
    </row>
    <row r="344">
      <c r="E344" s="40"/>
    </row>
    <row r="345">
      <c r="E345" s="40"/>
    </row>
    <row r="346">
      <c r="E346" s="40"/>
    </row>
    <row r="347">
      <c r="E347" s="40"/>
    </row>
    <row r="348">
      <c r="E348" s="40"/>
    </row>
    <row r="349">
      <c r="E349" s="40"/>
    </row>
    <row r="350">
      <c r="E350" s="40"/>
    </row>
    <row r="351">
      <c r="E351" s="40"/>
    </row>
    <row r="352">
      <c r="E352" s="40"/>
    </row>
    <row r="353">
      <c r="E353" s="40"/>
    </row>
    <row r="354">
      <c r="E354" s="40"/>
    </row>
    <row r="355">
      <c r="E355" s="40"/>
    </row>
    <row r="356">
      <c r="E356" s="40"/>
    </row>
    <row r="357">
      <c r="E357" s="40"/>
    </row>
    <row r="358">
      <c r="E358" s="40"/>
    </row>
    <row r="359">
      <c r="E359" s="40"/>
    </row>
    <row r="360">
      <c r="E360" s="40"/>
    </row>
    <row r="361">
      <c r="E361" s="40"/>
    </row>
    <row r="362">
      <c r="E362" s="40"/>
    </row>
    <row r="363">
      <c r="E363" s="40"/>
    </row>
    <row r="364">
      <c r="E364" s="40"/>
    </row>
    <row r="365">
      <c r="E365" s="40"/>
    </row>
    <row r="366">
      <c r="E366" s="40"/>
    </row>
    <row r="367">
      <c r="E367" s="40"/>
    </row>
    <row r="368">
      <c r="E368" s="40"/>
    </row>
    <row r="369">
      <c r="E369" s="40"/>
    </row>
    <row r="370">
      <c r="E370" s="40"/>
    </row>
    <row r="371">
      <c r="E371" s="40"/>
    </row>
    <row r="372">
      <c r="E372" s="40"/>
    </row>
    <row r="373">
      <c r="E373" s="40"/>
    </row>
    <row r="374">
      <c r="E374" s="40"/>
    </row>
    <row r="375">
      <c r="E375" s="40"/>
    </row>
    <row r="376">
      <c r="E376" s="40"/>
    </row>
    <row r="377">
      <c r="E377" s="40"/>
    </row>
    <row r="378">
      <c r="E378" s="40"/>
    </row>
    <row r="379">
      <c r="E379" s="40"/>
    </row>
    <row r="380">
      <c r="E380" s="40"/>
    </row>
    <row r="381">
      <c r="E381" s="40"/>
    </row>
    <row r="382">
      <c r="E382" s="40"/>
    </row>
    <row r="383">
      <c r="E383" s="40"/>
    </row>
    <row r="384">
      <c r="E384" s="40"/>
    </row>
    <row r="385">
      <c r="E385" s="40"/>
    </row>
    <row r="386">
      <c r="E386" s="40"/>
    </row>
    <row r="387">
      <c r="E387" s="40"/>
    </row>
    <row r="388">
      <c r="E388" s="40"/>
    </row>
    <row r="389">
      <c r="E389" s="40"/>
    </row>
    <row r="390">
      <c r="E390" s="40"/>
    </row>
    <row r="391">
      <c r="E391" s="40"/>
    </row>
    <row r="392">
      <c r="E392" s="40"/>
    </row>
    <row r="393">
      <c r="E393" s="40"/>
    </row>
    <row r="394">
      <c r="E394" s="40"/>
    </row>
    <row r="395">
      <c r="E395" s="40"/>
    </row>
    <row r="396">
      <c r="E396" s="40"/>
    </row>
    <row r="397">
      <c r="E397" s="40"/>
    </row>
    <row r="398">
      <c r="E398" s="40"/>
    </row>
    <row r="399">
      <c r="E399" s="40"/>
    </row>
    <row r="400">
      <c r="E400" s="40"/>
    </row>
    <row r="401">
      <c r="E401" s="40"/>
    </row>
    <row r="402">
      <c r="E402" s="40"/>
    </row>
    <row r="403">
      <c r="E403" s="40"/>
    </row>
    <row r="404">
      <c r="E404" s="40"/>
    </row>
    <row r="405">
      <c r="E405" s="40"/>
    </row>
    <row r="406">
      <c r="E406" s="40"/>
    </row>
    <row r="407">
      <c r="E407" s="40"/>
    </row>
    <row r="408">
      <c r="E408" s="40"/>
    </row>
    <row r="409">
      <c r="E409" s="40"/>
    </row>
    <row r="410">
      <c r="E410" s="40"/>
    </row>
    <row r="411">
      <c r="E411" s="40"/>
    </row>
    <row r="412">
      <c r="E412" s="40"/>
    </row>
    <row r="413">
      <c r="E413" s="40"/>
    </row>
    <row r="414">
      <c r="E414" s="40"/>
    </row>
    <row r="415">
      <c r="E415" s="40"/>
    </row>
    <row r="416">
      <c r="E416" s="40"/>
    </row>
    <row r="417">
      <c r="E417" s="40"/>
    </row>
    <row r="418">
      <c r="E418" s="40"/>
    </row>
    <row r="419">
      <c r="E419" s="40"/>
    </row>
    <row r="420">
      <c r="E420" s="40"/>
    </row>
    <row r="421">
      <c r="E421" s="40"/>
    </row>
    <row r="422">
      <c r="E422" s="40"/>
    </row>
    <row r="423">
      <c r="E423" s="40"/>
    </row>
    <row r="424">
      <c r="E424" s="40"/>
    </row>
    <row r="425">
      <c r="E425" s="40"/>
    </row>
    <row r="426">
      <c r="E426" s="40"/>
    </row>
    <row r="427">
      <c r="E427" s="40"/>
    </row>
    <row r="428">
      <c r="E428" s="40"/>
    </row>
    <row r="429">
      <c r="E429" s="40"/>
    </row>
    <row r="430">
      <c r="E430" s="40"/>
    </row>
    <row r="431">
      <c r="E431" s="40"/>
    </row>
    <row r="432">
      <c r="E432" s="40"/>
    </row>
    <row r="433">
      <c r="E433" s="40"/>
    </row>
    <row r="434">
      <c r="E434" s="40"/>
    </row>
    <row r="435">
      <c r="E435" s="40"/>
    </row>
    <row r="436">
      <c r="E436" s="40"/>
    </row>
    <row r="437">
      <c r="E437" s="40"/>
    </row>
    <row r="438">
      <c r="E438" s="40"/>
    </row>
    <row r="439">
      <c r="E439" s="40"/>
    </row>
    <row r="440">
      <c r="E440" s="40"/>
    </row>
    <row r="441">
      <c r="E441" s="40"/>
    </row>
    <row r="442">
      <c r="E442" s="40"/>
    </row>
    <row r="443">
      <c r="E443" s="40"/>
    </row>
    <row r="444">
      <c r="E444" s="40"/>
    </row>
    <row r="445">
      <c r="E445" s="40"/>
    </row>
    <row r="446">
      <c r="E446" s="40"/>
    </row>
    <row r="447">
      <c r="E447" s="40"/>
    </row>
    <row r="448">
      <c r="E448" s="40"/>
    </row>
    <row r="449">
      <c r="E449" s="40"/>
    </row>
    <row r="450">
      <c r="E450" s="40"/>
    </row>
    <row r="451">
      <c r="E451" s="40"/>
    </row>
    <row r="452">
      <c r="E452" s="40"/>
    </row>
    <row r="453">
      <c r="E453" s="40"/>
    </row>
    <row r="454">
      <c r="E454" s="40"/>
    </row>
    <row r="455">
      <c r="E455" s="40"/>
    </row>
    <row r="456">
      <c r="E456" s="40"/>
    </row>
    <row r="457">
      <c r="E457" s="40"/>
    </row>
    <row r="458">
      <c r="E458" s="40"/>
    </row>
    <row r="459">
      <c r="E459" s="40"/>
    </row>
    <row r="460">
      <c r="E460" s="40"/>
    </row>
    <row r="461">
      <c r="E461" s="40"/>
    </row>
    <row r="462">
      <c r="E462" s="40"/>
    </row>
    <row r="463">
      <c r="E463" s="40"/>
    </row>
    <row r="464">
      <c r="E464" s="40"/>
    </row>
    <row r="465">
      <c r="E465" s="40"/>
    </row>
    <row r="466">
      <c r="E466" s="40"/>
    </row>
    <row r="467">
      <c r="E467" s="40"/>
    </row>
    <row r="468">
      <c r="E468" s="40"/>
    </row>
    <row r="469">
      <c r="E469" s="40"/>
    </row>
    <row r="470">
      <c r="E470" s="40"/>
    </row>
    <row r="471">
      <c r="E471" s="40"/>
    </row>
    <row r="472">
      <c r="E472" s="40"/>
    </row>
    <row r="473">
      <c r="E473" s="40"/>
    </row>
    <row r="474">
      <c r="E474" s="40"/>
    </row>
    <row r="475">
      <c r="E475" s="40"/>
    </row>
    <row r="476">
      <c r="E476" s="40"/>
    </row>
    <row r="477">
      <c r="E477" s="40"/>
    </row>
    <row r="478">
      <c r="E478" s="40"/>
    </row>
    <row r="479">
      <c r="E479" s="40"/>
    </row>
    <row r="480">
      <c r="E480" s="40"/>
    </row>
    <row r="481">
      <c r="E481" s="40"/>
    </row>
    <row r="482">
      <c r="E482" s="40"/>
    </row>
    <row r="483">
      <c r="E483" s="40"/>
    </row>
    <row r="484">
      <c r="E484" s="40"/>
    </row>
    <row r="485">
      <c r="E485" s="40"/>
    </row>
    <row r="486">
      <c r="E486" s="40"/>
    </row>
    <row r="487">
      <c r="E487" s="40"/>
    </row>
    <row r="488">
      <c r="E488" s="40"/>
    </row>
    <row r="489">
      <c r="E489" s="40"/>
    </row>
    <row r="490">
      <c r="E490" s="40"/>
    </row>
    <row r="491">
      <c r="E491" s="40"/>
    </row>
    <row r="492">
      <c r="E492" s="40"/>
    </row>
    <row r="493">
      <c r="E493" s="40"/>
    </row>
    <row r="494">
      <c r="E494" s="40"/>
    </row>
    <row r="495">
      <c r="E495" s="40"/>
    </row>
    <row r="496">
      <c r="E496" s="40"/>
    </row>
    <row r="497">
      <c r="E497" s="40"/>
    </row>
    <row r="498">
      <c r="E498" s="40"/>
    </row>
    <row r="499">
      <c r="E499" s="40"/>
    </row>
    <row r="500">
      <c r="E500" s="40"/>
    </row>
    <row r="501">
      <c r="E501" s="40"/>
    </row>
    <row r="502">
      <c r="E502" s="40"/>
    </row>
    <row r="503">
      <c r="E503" s="40"/>
    </row>
    <row r="504">
      <c r="E504" s="40"/>
    </row>
    <row r="505">
      <c r="E505" s="40"/>
    </row>
    <row r="506">
      <c r="E506" s="40"/>
    </row>
    <row r="507">
      <c r="E507" s="40"/>
    </row>
    <row r="508">
      <c r="E508" s="40"/>
    </row>
    <row r="509">
      <c r="E509" s="40"/>
    </row>
    <row r="510">
      <c r="E510" s="40"/>
    </row>
    <row r="511">
      <c r="E511" s="40"/>
    </row>
    <row r="512">
      <c r="E512" s="40"/>
    </row>
    <row r="513">
      <c r="E513" s="40"/>
    </row>
    <row r="514">
      <c r="E514" s="40"/>
    </row>
    <row r="515">
      <c r="E515" s="40"/>
    </row>
    <row r="516">
      <c r="E516" s="40"/>
    </row>
    <row r="517">
      <c r="E517" s="40"/>
    </row>
    <row r="518">
      <c r="E518" s="40"/>
    </row>
    <row r="519">
      <c r="E519" s="40"/>
    </row>
    <row r="520">
      <c r="E520" s="40"/>
    </row>
    <row r="521">
      <c r="E521" s="40"/>
    </row>
    <row r="522">
      <c r="E522" s="40"/>
    </row>
    <row r="523">
      <c r="E523" s="40"/>
    </row>
    <row r="524">
      <c r="E524" s="40"/>
    </row>
    <row r="525">
      <c r="E525" s="40"/>
    </row>
    <row r="526">
      <c r="E526" s="40"/>
    </row>
    <row r="527">
      <c r="E527" s="40"/>
    </row>
    <row r="528">
      <c r="E528" s="40"/>
    </row>
    <row r="529">
      <c r="E529" s="40"/>
    </row>
    <row r="530">
      <c r="E530" s="40"/>
    </row>
    <row r="531">
      <c r="E531" s="40"/>
    </row>
    <row r="532">
      <c r="E532" s="40"/>
    </row>
    <row r="533">
      <c r="E533" s="40"/>
    </row>
    <row r="534">
      <c r="E534" s="40"/>
    </row>
    <row r="535">
      <c r="E535" s="40"/>
    </row>
    <row r="536">
      <c r="E536" s="40"/>
    </row>
    <row r="537">
      <c r="E537" s="40"/>
    </row>
    <row r="538">
      <c r="E538" s="40"/>
    </row>
    <row r="539">
      <c r="E539" s="40"/>
    </row>
    <row r="540">
      <c r="E540" s="40"/>
    </row>
    <row r="541">
      <c r="E541" s="40"/>
    </row>
    <row r="542">
      <c r="E542" s="40"/>
    </row>
    <row r="543">
      <c r="E543" s="40"/>
    </row>
    <row r="544">
      <c r="E544" s="40"/>
    </row>
    <row r="545">
      <c r="E545" s="40"/>
    </row>
    <row r="546">
      <c r="E546" s="40"/>
    </row>
    <row r="547">
      <c r="E547" s="40"/>
    </row>
    <row r="548">
      <c r="E548" s="40"/>
    </row>
    <row r="549">
      <c r="E549" s="40"/>
    </row>
    <row r="550">
      <c r="E550" s="40"/>
    </row>
    <row r="551">
      <c r="E551" s="40"/>
    </row>
    <row r="552">
      <c r="E552" s="40"/>
    </row>
    <row r="553">
      <c r="E553" s="40"/>
    </row>
    <row r="554">
      <c r="E554" s="40"/>
    </row>
    <row r="555">
      <c r="E555" s="40"/>
    </row>
    <row r="556">
      <c r="E556" s="40"/>
    </row>
    <row r="557">
      <c r="E557" s="40"/>
    </row>
    <row r="558">
      <c r="E558" s="40"/>
    </row>
    <row r="559">
      <c r="E559" s="40"/>
    </row>
    <row r="560">
      <c r="E560" s="40"/>
    </row>
    <row r="561">
      <c r="E561" s="40"/>
    </row>
    <row r="562">
      <c r="E562" s="40"/>
    </row>
    <row r="563">
      <c r="E563" s="40"/>
    </row>
    <row r="564">
      <c r="E564" s="40"/>
    </row>
    <row r="565">
      <c r="E565" s="40"/>
    </row>
    <row r="566">
      <c r="E566" s="40"/>
    </row>
    <row r="567">
      <c r="E567" s="40"/>
    </row>
    <row r="568">
      <c r="E568" s="40"/>
    </row>
    <row r="569">
      <c r="E569" s="40"/>
    </row>
    <row r="570">
      <c r="E570" s="40"/>
    </row>
    <row r="571">
      <c r="E571" s="40"/>
    </row>
    <row r="572">
      <c r="E572" s="40"/>
    </row>
    <row r="573">
      <c r="E573" s="40"/>
    </row>
    <row r="574">
      <c r="E574" s="40"/>
    </row>
    <row r="575">
      <c r="E575" s="40"/>
    </row>
    <row r="576">
      <c r="E576" s="40"/>
    </row>
    <row r="577">
      <c r="E577" s="40"/>
    </row>
    <row r="578">
      <c r="E578" s="40"/>
    </row>
    <row r="579">
      <c r="E579" s="40"/>
    </row>
    <row r="580">
      <c r="E580" s="40"/>
    </row>
    <row r="581">
      <c r="E581" s="40"/>
    </row>
    <row r="582">
      <c r="E582" s="40"/>
    </row>
    <row r="583">
      <c r="E583" s="40"/>
    </row>
    <row r="584">
      <c r="E584" s="40"/>
    </row>
    <row r="585">
      <c r="E585" s="40"/>
    </row>
    <row r="586">
      <c r="E586" s="40"/>
    </row>
    <row r="587">
      <c r="E587" s="40"/>
    </row>
    <row r="588">
      <c r="E588" s="40"/>
    </row>
    <row r="589">
      <c r="E589" s="40"/>
    </row>
    <row r="590">
      <c r="E590" s="40"/>
    </row>
    <row r="591">
      <c r="E591" s="40"/>
    </row>
    <row r="592">
      <c r="E592" s="40"/>
    </row>
    <row r="593">
      <c r="E593" s="40"/>
    </row>
    <row r="594">
      <c r="E594" s="40"/>
    </row>
    <row r="595">
      <c r="E595" s="40"/>
    </row>
    <row r="596">
      <c r="E596" s="40"/>
    </row>
    <row r="597">
      <c r="E597" s="40"/>
    </row>
    <row r="598">
      <c r="E598" s="40"/>
    </row>
    <row r="599">
      <c r="E599" s="40"/>
    </row>
    <row r="600">
      <c r="E600" s="40"/>
    </row>
    <row r="601">
      <c r="E601" s="40"/>
    </row>
    <row r="602">
      <c r="E602" s="40"/>
    </row>
    <row r="603">
      <c r="E603" s="40"/>
    </row>
    <row r="604">
      <c r="E604" s="40"/>
    </row>
    <row r="605">
      <c r="E605" s="40"/>
    </row>
    <row r="606">
      <c r="E606" s="40"/>
    </row>
    <row r="607">
      <c r="E607" s="40"/>
    </row>
    <row r="608">
      <c r="E608" s="40"/>
    </row>
    <row r="609">
      <c r="E609" s="40"/>
    </row>
    <row r="610">
      <c r="E610" s="40"/>
    </row>
    <row r="611">
      <c r="E611" s="40"/>
    </row>
    <row r="612">
      <c r="E612" s="40"/>
    </row>
    <row r="613">
      <c r="E613" s="40"/>
    </row>
    <row r="614">
      <c r="E614" s="40"/>
    </row>
    <row r="615">
      <c r="E615" s="40"/>
    </row>
    <row r="616">
      <c r="E616" s="40"/>
    </row>
    <row r="617">
      <c r="E617" s="40"/>
    </row>
    <row r="618">
      <c r="E618" s="40"/>
    </row>
    <row r="619">
      <c r="E619" s="40"/>
    </row>
    <row r="620">
      <c r="E620" s="40"/>
    </row>
    <row r="621">
      <c r="E621" s="40"/>
    </row>
    <row r="622">
      <c r="E622" s="40"/>
    </row>
    <row r="623">
      <c r="E623" s="40"/>
    </row>
    <row r="624">
      <c r="E624" s="40"/>
    </row>
    <row r="625">
      <c r="E625" s="40"/>
    </row>
    <row r="626">
      <c r="E626" s="40"/>
    </row>
    <row r="627">
      <c r="E627" s="40"/>
    </row>
    <row r="628">
      <c r="E628" s="40"/>
    </row>
    <row r="629">
      <c r="E629" s="40"/>
    </row>
    <row r="630">
      <c r="E630" s="40"/>
    </row>
    <row r="631">
      <c r="E631" s="40"/>
    </row>
    <row r="632">
      <c r="E632" s="40"/>
    </row>
    <row r="633">
      <c r="E633" s="40"/>
    </row>
    <row r="634">
      <c r="E634" s="40"/>
    </row>
    <row r="635">
      <c r="E635" s="40"/>
    </row>
    <row r="636">
      <c r="E636" s="40"/>
    </row>
    <row r="637">
      <c r="E637" s="40"/>
    </row>
    <row r="638">
      <c r="E638" s="40"/>
    </row>
    <row r="639">
      <c r="E639" s="40"/>
    </row>
    <row r="640">
      <c r="E640" s="40"/>
    </row>
    <row r="641">
      <c r="E641" s="40"/>
    </row>
    <row r="642">
      <c r="E642" s="40"/>
    </row>
    <row r="643">
      <c r="E643" s="40"/>
    </row>
    <row r="644">
      <c r="E644" s="40"/>
    </row>
    <row r="645">
      <c r="E645" s="40"/>
    </row>
    <row r="646">
      <c r="E646" s="40"/>
    </row>
    <row r="647">
      <c r="E647" s="40"/>
    </row>
    <row r="648">
      <c r="E648" s="40"/>
    </row>
    <row r="649">
      <c r="E649" s="40"/>
    </row>
    <row r="650">
      <c r="E650" s="40"/>
    </row>
    <row r="651">
      <c r="E651" s="40"/>
    </row>
    <row r="652">
      <c r="E652" s="40"/>
    </row>
    <row r="653">
      <c r="E653" s="40"/>
    </row>
    <row r="654">
      <c r="E654" s="40"/>
    </row>
    <row r="655">
      <c r="E655" s="40"/>
    </row>
    <row r="656">
      <c r="E656" s="40"/>
    </row>
    <row r="657">
      <c r="E657" s="40"/>
    </row>
    <row r="658">
      <c r="E658" s="40"/>
    </row>
    <row r="659">
      <c r="E659" s="40"/>
    </row>
    <row r="660">
      <c r="E660" s="40"/>
    </row>
    <row r="661">
      <c r="E661" s="40"/>
    </row>
    <row r="662">
      <c r="E662" s="40"/>
    </row>
    <row r="663">
      <c r="E663" s="40"/>
    </row>
    <row r="664">
      <c r="E664" s="40"/>
    </row>
    <row r="665">
      <c r="E665" s="40"/>
    </row>
    <row r="666">
      <c r="E666" s="40"/>
    </row>
    <row r="667">
      <c r="E667" s="40"/>
    </row>
    <row r="668">
      <c r="E668" s="40"/>
    </row>
    <row r="669">
      <c r="E669" s="40"/>
    </row>
    <row r="670">
      <c r="E670" s="40"/>
    </row>
    <row r="671">
      <c r="E671" s="40"/>
    </row>
    <row r="672">
      <c r="E672" s="40"/>
    </row>
    <row r="673">
      <c r="E673" s="40"/>
    </row>
    <row r="674">
      <c r="E674" s="40"/>
    </row>
    <row r="675">
      <c r="E675" s="40"/>
    </row>
    <row r="676">
      <c r="E676" s="40"/>
    </row>
    <row r="677">
      <c r="E677" s="40"/>
    </row>
    <row r="678">
      <c r="E678" s="40"/>
    </row>
    <row r="679">
      <c r="E679" s="40"/>
    </row>
    <row r="680">
      <c r="E680" s="40"/>
    </row>
    <row r="681">
      <c r="E681" s="40"/>
    </row>
    <row r="682">
      <c r="E682" s="40"/>
    </row>
    <row r="683">
      <c r="E683" s="40"/>
    </row>
    <row r="684">
      <c r="E684" s="40"/>
    </row>
    <row r="685">
      <c r="E685" s="40"/>
    </row>
    <row r="686">
      <c r="E686" s="40"/>
    </row>
    <row r="687">
      <c r="E687" s="40"/>
    </row>
    <row r="688">
      <c r="E688" s="40"/>
    </row>
    <row r="689">
      <c r="E689" s="40"/>
    </row>
    <row r="690">
      <c r="E690" s="40"/>
    </row>
    <row r="691">
      <c r="E691" s="40"/>
    </row>
    <row r="692">
      <c r="E692" s="40"/>
    </row>
    <row r="693">
      <c r="E693" s="40"/>
    </row>
    <row r="694">
      <c r="E694" s="40"/>
    </row>
    <row r="695">
      <c r="E695" s="40"/>
    </row>
    <row r="696">
      <c r="E696" s="40"/>
    </row>
    <row r="697">
      <c r="E697" s="40"/>
    </row>
    <row r="698">
      <c r="E698" s="40"/>
    </row>
    <row r="699">
      <c r="E699" s="40"/>
    </row>
    <row r="700">
      <c r="E700" s="40"/>
    </row>
    <row r="701">
      <c r="E701" s="40"/>
    </row>
    <row r="702">
      <c r="E702" s="40"/>
    </row>
    <row r="703">
      <c r="E703" s="40"/>
    </row>
    <row r="704">
      <c r="E704" s="40"/>
    </row>
    <row r="705">
      <c r="E705" s="40"/>
    </row>
    <row r="706">
      <c r="E706" s="40"/>
    </row>
    <row r="707">
      <c r="E707" s="40"/>
    </row>
    <row r="708">
      <c r="E708" s="40"/>
    </row>
    <row r="709">
      <c r="E709" s="40"/>
    </row>
    <row r="710">
      <c r="E710" s="40"/>
    </row>
    <row r="711">
      <c r="E711" s="40"/>
    </row>
    <row r="712">
      <c r="E712" s="40"/>
    </row>
    <row r="713">
      <c r="E713" s="40"/>
    </row>
    <row r="714">
      <c r="E714" s="40"/>
    </row>
    <row r="715">
      <c r="E715" s="40"/>
    </row>
    <row r="716">
      <c r="E716" s="40"/>
    </row>
    <row r="717">
      <c r="E717" s="40"/>
    </row>
    <row r="718">
      <c r="E718" s="40"/>
    </row>
    <row r="719">
      <c r="E719" s="40"/>
    </row>
    <row r="720">
      <c r="E720" s="40"/>
    </row>
    <row r="721">
      <c r="E721" s="40"/>
    </row>
    <row r="722">
      <c r="E722" s="40"/>
    </row>
    <row r="723">
      <c r="E723" s="40"/>
    </row>
    <row r="724">
      <c r="E724" s="40"/>
    </row>
    <row r="725">
      <c r="E725" s="40"/>
    </row>
    <row r="726">
      <c r="E726" s="40"/>
    </row>
    <row r="727">
      <c r="E727" s="40"/>
    </row>
    <row r="728">
      <c r="E728" s="40"/>
    </row>
    <row r="729">
      <c r="E729" s="40"/>
    </row>
    <row r="730">
      <c r="E730" s="40"/>
    </row>
    <row r="731">
      <c r="E731" s="40"/>
    </row>
    <row r="732">
      <c r="E732" s="40"/>
    </row>
    <row r="733">
      <c r="E733" s="40"/>
    </row>
    <row r="734">
      <c r="E734" s="40"/>
    </row>
    <row r="735">
      <c r="E735" s="40"/>
    </row>
    <row r="736">
      <c r="E736" s="40"/>
    </row>
    <row r="737">
      <c r="E737" s="40"/>
    </row>
    <row r="738">
      <c r="E738" s="40"/>
    </row>
    <row r="739">
      <c r="E739" s="40"/>
    </row>
    <row r="740">
      <c r="E740" s="40"/>
    </row>
    <row r="741">
      <c r="E741" s="40"/>
    </row>
    <row r="742">
      <c r="E742" s="40"/>
    </row>
    <row r="743">
      <c r="E743" s="40"/>
    </row>
    <row r="744">
      <c r="E744" s="40"/>
    </row>
    <row r="745">
      <c r="E745" s="40"/>
    </row>
    <row r="746">
      <c r="E746" s="40"/>
    </row>
    <row r="747">
      <c r="E747" s="40"/>
    </row>
    <row r="748">
      <c r="E748" s="40"/>
    </row>
    <row r="749">
      <c r="E749" s="40"/>
    </row>
    <row r="750">
      <c r="E750" s="40"/>
    </row>
    <row r="751">
      <c r="E751" s="40"/>
    </row>
    <row r="752">
      <c r="E752" s="40"/>
    </row>
    <row r="753">
      <c r="E753" s="40"/>
    </row>
    <row r="754">
      <c r="E754" s="40"/>
    </row>
    <row r="755">
      <c r="E755" s="40"/>
    </row>
    <row r="756">
      <c r="E756" s="40"/>
    </row>
    <row r="757">
      <c r="E757" s="40"/>
    </row>
    <row r="758">
      <c r="E758" s="40"/>
    </row>
    <row r="759">
      <c r="E759" s="40"/>
    </row>
    <row r="760">
      <c r="E760" s="40"/>
    </row>
    <row r="761">
      <c r="E761" s="40"/>
    </row>
    <row r="762">
      <c r="E762" s="40"/>
    </row>
    <row r="763">
      <c r="E763" s="40"/>
    </row>
    <row r="764">
      <c r="E764" s="40"/>
    </row>
    <row r="765">
      <c r="E765" s="40"/>
    </row>
    <row r="766">
      <c r="E766" s="40"/>
    </row>
    <row r="767">
      <c r="E767" s="40"/>
    </row>
    <row r="768">
      <c r="E768" s="40"/>
    </row>
    <row r="769">
      <c r="E769" s="40"/>
    </row>
    <row r="770">
      <c r="E770" s="40"/>
    </row>
    <row r="771">
      <c r="E771" s="40"/>
    </row>
    <row r="772">
      <c r="E772" s="40"/>
    </row>
    <row r="773">
      <c r="E773" s="40"/>
    </row>
    <row r="774">
      <c r="E774" s="40"/>
    </row>
    <row r="775">
      <c r="E775" s="40"/>
    </row>
    <row r="776">
      <c r="E776" s="40"/>
    </row>
    <row r="777">
      <c r="E777" s="40"/>
    </row>
    <row r="778">
      <c r="E778" s="40"/>
    </row>
    <row r="779">
      <c r="E779" s="40"/>
    </row>
    <row r="780">
      <c r="E780" s="40"/>
    </row>
    <row r="781">
      <c r="E781" s="40"/>
    </row>
    <row r="782">
      <c r="E782" s="40"/>
    </row>
    <row r="783">
      <c r="E783" s="40"/>
    </row>
    <row r="784">
      <c r="E784" s="40"/>
    </row>
    <row r="785">
      <c r="E785" s="40"/>
    </row>
    <row r="786">
      <c r="E786" s="40"/>
    </row>
    <row r="787">
      <c r="E787" s="40"/>
    </row>
    <row r="788">
      <c r="E788" s="40"/>
    </row>
    <row r="789">
      <c r="E789" s="40"/>
    </row>
    <row r="790">
      <c r="E790" s="40"/>
    </row>
    <row r="791">
      <c r="E791" s="40"/>
    </row>
    <row r="792">
      <c r="E792" s="40"/>
    </row>
    <row r="793">
      <c r="E793" s="40"/>
    </row>
    <row r="794">
      <c r="E794" s="40"/>
    </row>
    <row r="795">
      <c r="E795" s="40"/>
    </row>
    <row r="796">
      <c r="E796" s="40"/>
    </row>
    <row r="797">
      <c r="E797" s="40"/>
    </row>
    <row r="798">
      <c r="E798" s="40"/>
    </row>
    <row r="799">
      <c r="E799" s="40"/>
    </row>
    <row r="800">
      <c r="E800" s="40"/>
    </row>
    <row r="801">
      <c r="E801" s="40"/>
    </row>
    <row r="802">
      <c r="E802" s="40"/>
    </row>
    <row r="803">
      <c r="E803" s="40"/>
    </row>
    <row r="804">
      <c r="E804" s="40"/>
    </row>
    <row r="805">
      <c r="E805" s="40"/>
    </row>
    <row r="806">
      <c r="E806" s="40"/>
    </row>
    <row r="807">
      <c r="E807" s="40"/>
    </row>
    <row r="808">
      <c r="E808" s="40"/>
    </row>
    <row r="809">
      <c r="E809" s="40"/>
    </row>
    <row r="810">
      <c r="E810" s="40"/>
    </row>
    <row r="811">
      <c r="E811" s="40"/>
    </row>
    <row r="812">
      <c r="E812" s="40"/>
    </row>
    <row r="813">
      <c r="E813" s="40"/>
    </row>
    <row r="814">
      <c r="E814" s="40"/>
    </row>
    <row r="815">
      <c r="E815" s="40"/>
    </row>
    <row r="816">
      <c r="E816" s="40"/>
    </row>
    <row r="817">
      <c r="E817" s="40"/>
    </row>
    <row r="818">
      <c r="E818" s="40"/>
    </row>
    <row r="819">
      <c r="E819" s="40"/>
    </row>
    <row r="820">
      <c r="E820" s="40"/>
    </row>
    <row r="821">
      <c r="E821" s="40"/>
    </row>
    <row r="822">
      <c r="E822" s="40"/>
    </row>
    <row r="823">
      <c r="E823" s="40"/>
    </row>
    <row r="824">
      <c r="E824" s="40"/>
    </row>
    <row r="825">
      <c r="E825" s="40"/>
    </row>
    <row r="826">
      <c r="E826" s="40"/>
    </row>
    <row r="827">
      <c r="E827" s="40"/>
    </row>
    <row r="828">
      <c r="E828" s="40"/>
    </row>
    <row r="829">
      <c r="E829" s="40"/>
    </row>
    <row r="830">
      <c r="E830" s="40"/>
    </row>
    <row r="831">
      <c r="E831" s="40"/>
    </row>
    <row r="832">
      <c r="E832" s="40"/>
    </row>
    <row r="833">
      <c r="E833" s="40"/>
    </row>
    <row r="834">
      <c r="E834" s="40"/>
    </row>
    <row r="835">
      <c r="E835" s="40"/>
    </row>
    <row r="836">
      <c r="E836" s="40"/>
    </row>
    <row r="837">
      <c r="E837" s="40"/>
    </row>
    <row r="838">
      <c r="E838" s="40"/>
    </row>
    <row r="839">
      <c r="E839" s="40"/>
    </row>
    <row r="840">
      <c r="E840" s="40"/>
    </row>
    <row r="841">
      <c r="E841" s="40"/>
    </row>
    <row r="842">
      <c r="E842" s="40"/>
    </row>
    <row r="843">
      <c r="E843" s="40"/>
    </row>
    <row r="844">
      <c r="E844" s="40"/>
    </row>
    <row r="845">
      <c r="E845" s="40"/>
    </row>
    <row r="846">
      <c r="E846" s="40"/>
    </row>
    <row r="847">
      <c r="E847" s="40"/>
    </row>
    <row r="848">
      <c r="E848" s="40"/>
    </row>
    <row r="849">
      <c r="E849" s="40"/>
    </row>
    <row r="850">
      <c r="E850" s="40"/>
    </row>
    <row r="851">
      <c r="E851" s="40"/>
    </row>
    <row r="852">
      <c r="E852" s="40"/>
    </row>
    <row r="853">
      <c r="E853" s="40"/>
    </row>
    <row r="854">
      <c r="E854" s="40"/>
    </row>
    <row r="855">
      <c r="E855" s="40"/>
    </row>
    <row r="856">
      <c r="E856" s="40"/>
    </row>
    <row r="857">
      <c r="E857" s="40"/>
    </row>
    <row r="858">
      <c r="E858" s="40"/>
    </row>
    <row r="859">
      <c r="E859" s="40"/>
    </row>
    <row r="860">
      <c r="E860" s="40"/>
    </row>
    <row r="861">
      <c r="E861" s="40"/>
    </row>
    <row r="862">
      <c r="E862" s="40"/>
    </row>
    <row r="863">
      <c r="E863" s="40"/>
    </row>
    <row r="864">
      <c r="E864" s="40"/>
    </row>
    <row r="865">
      <c r="E865" s="40"/>
    </row>
    <row r="866">
      <c r="E866" s="40"/>
    </row>
    <row r="867">
      <c r="E867" s="40"/>
    </row>
    <row r="868">
      <c r="E868" s="40"/>
    </row>
    <row r="869">
      <c r="E869" s="40"/>
    </row>
    <row r="870">
      <c r="E870" s="40"/>
    </row>
    <row r="871">
      <c r="E871" s="40"/>
    </row>
    <row r="872">
      <c r="E872" s="40"/>
    </row>
    <row r="873">
      <c r="E873" s="40"/>
    </row>
    <row r="874">
      <c r="E874" s="40"/>
    </row>
    <row r="875">
      <c r="E875" s="40"/>
    </row>
    <row r="876">
      <c r="E876" s="40"/>
    </row>
    <row r="877">
      <c r="E877" s="40"/>
    </row>
    <row r="878">
      <c r="E878" s="40"/>
    </row>
    <row r="879">
      <c r="E879" s="40"/>
    </row>
    <row r="880">
      <c r="E880" s="40"/>
    </row>
    <row r="881">
      <c r="E881" s="40"/>
    </row>
    <row r="882">
      <c r="E882" s="40"/>
    </row>
    <row r="883">
      <c r="E883" s="40"/>
    </row>
    <row r="884">
      <c r="E884" s="40"/>
    </row>
    <row r="885">
      <c r="E885" s="40"/>
    </row>
    <row r="886">
      <c r="E886" s="40"/>
    </row>
    <row r="887">
      <c r="E887" s="40"/>
    </row>
    <row r="888">
      <c r="E888" s="40"/>
    </row>
    <row r="889">
      <c r="E889" s="40"/>
    </row>
    <row r="890">
      <c r="E890" s="40"/>
    </row>
    <row r="891">
      <c r="E891" s="40"/>
    </row>
    <row r="892">
      <c r="E892" s="40"/>
    </row>
    <row r="893">
      <c r="E893" s="40"/>
    </row>
    <row r="894">
      <c r="E894" s="40"/>
    </row>
    <row r="895">
      <c r="E895" s="40"/>
    </row>
    <row r="896">
      <c r="E896" s="40"/>
    </row>
    <row r="897">
      <c r="E897" s="40"/>
    </row>
    <row r="898">
      <c r="E898" s="40"/>
    </row>
    <row r="899">
      <c r="E899" s="40"/>
    </row>
    <row r="900">
      <c r="E900" s="40"/>
    </row>
    <row r="901">
      <c r="E901" s="40"/>
    </row>
    <row r="902">
      <c r="E902" s="40"/>
    </row>
    <row r="903">
      <c r="E903" s="40"/>
    </row>
    <row r="904">
      <c r="E904" s="40"/>
    </row>
    <row r="905">
      <c r="E905" s="40"/>
    </row>
    <row r="906">
      <c r="E906" s="40"/>
    </row>
    <row r="907">
      <c r="E907" s="40"/>
    </row>
    <row r="908">
      <c r="E908" s="40"/>
    </row>
    <row r="909">
      <c r="E909" s="40"/>
    </row>
    <row r="910">
      <c r="E910" s="40"/>
    </row>
    <row r="911">
      <c r="E911" s="40"/>
    </row>
    <row r="912">
      <c r="E912" s="40"/>
    </row>
    <row r="913">
      <c r="E913" s="40"/>
    </row>
    <row r="914">
      <c r="E914" s="40"/>
    </row>
    <row r="915">
      <c r="E915" s="40"/>
    </row>
    <row r="916">
      <c r="E916" s="40"/>
    </row>
    <row r="917">
      <c r="E917" s="40"/>
    </row>
    <row r="918">
      <c r="E918" s="40"/>
    </row>
    <row r="919">
      <c r="E919" s="40"/>
    </row>
    <row r="920">
      <c r="E920" s="40"/>
    </row>
    <row r="921">
      <c r="E921" s="40"/>
    </row>
    <row r="922">
      <c r="E922" s="40"/>
    </row>
    <row r="923">
      <c r="E923" s="40"/>
    </row>
    <row r="924">
      <c r="E924" s="40"/>
    </row>
    <row r="925">
      <c r="E925" s="40"/>
    </row>
    <row r="926">
      <c r="E926" s="40"/>
    </row>
    <row r="927">
      <c r="E927" s="40"/>
    </row>
    <row r="928">
      <c r="E928" s="40"/>
    </row>
    <row r="929">
      <c r="E929" s="40"/>
    </row>
    <row r="930">
      <c r="E930" s="40"/>
    </row>
    <row r="931">
      <c r="E931" s="40"/>
    </row>
    <row r="932">
      <c r="E932" s="40"/>
    </row>
    <row r="933">
      <c r="E933" s="40"/>
    </row>
    <row r="934">
      <c r="E934" s="40"/>
    </row>
    <row r="935">
      <c r="E935" s="40"/>
    </row>
    <row r="936">
      <c r="E936" s="40"/>
    </row>
    <row r="937">
      <c r="E937" s="40"/>
    </row>
    <row r="938">
      <c r="E938" s="40"/>
    </row>
    <row r="939">
      <c r="E939" s="40"/>
    </row>
    <row r="940">
      <c r="E940" s="40"/>
    </row>
    <row r="941">
      <c r="E941" s="40"/>
    </row>
    <row r="942">
      <c r="E942" s="40"/>
    </row>
    <row r="943">
      <c r="E943" s="40"/>
    </row>
    <row r="944">
      <c r="E944" s="40"/>
    </row>
    <row r="945">
      <c r="E945" s="40"/>
    </row>
    <row r="946">
      <c r="E946" s="40"/>
    </row>
    <row r="947">
      <c r="E947" s="40"/>
    </row>
    <row r="948">
      <c r="E948" s="40"/>
    </row>
    <row r="949">
      <c r="E949" s="40"/>
    </row>
    <row r="950">
      <c r="E950" s="40"/>
    </row>
    <row r="951">
      <c r="E951" s="40"/>
    </row>
    <row r="952">
      <c r="E952" s="40"/>
    </row>
    <row r="953">
      <c r="E953" s="40"/>
    </row>
    <row r="954">
      <c r="E954" s="40"/>
    </row>
    <row r="955">
      <c r="E955" s="40"/>
    </row>
    <row r="956">
      <c r="E956" s="40"/>
    </row>
    <row r="957">
      <c r="E957" s="40"/>
    </row>
    <row r="958">
      <c r="E958" s="40"/>
    </row>
    <row r="959">
      <c r="E959" s="40"/>
    </row>
    <row r="960">
      <c r="E960" s="40"/>
    </row>
    <row r="961">
      <c r="E961" s="40"/>
    </row>
    <row r="962">
      <c r="E962" s="40"/>
    </row>
    <row r="963">
      <c r="E963" s="40"/>
    </row>
    <row r="964">
      <c r="E964" s="40"/>
    </row>
    <row r="965">
      <c r="E965" s="40"/>
    </row>
    <row r="966">
      <c r="E966" s="40"/>
    </row>
    <row r="967">
      <c r="E967" s="40"/>
    </row>
    <row r="968">
      <c r="E968" s="40"/>
    </row>
    <row r="969">
      <c r="E969" s="40"/>
    </row>
    <row r="970">
      <c r="E970" s="40"/>
    </row>
    <row r="971">
      <c r="E971" s="40"/>
    </row>
    <row r="972">
      <c r="E972" s="40"/>
    </row>
    <row r="973">
      <c r="E973" s="40"/>
    </row>
    <row r="974">
      <c r="E974" s="40"/>
    </row>
    <row r="975">
      <c r="E975" s="40"/>
    </row>
    <row r="976">
      <c r="E976" s="40"/>
    </row>
    <row r="977">
      <c r="E977" s="40"/>
    </row>
    <row r="978">
      <c r="E978" s="40"/>
    </row>
    <row r="979">
      <c r="E979" s="40"/>
    </row>
    <row r="980">
      <c r="E980" s="40"/>
    </row>
    <row r="981">
      <c r="E981" s="40"/>
    </row>
    <row r="982">
      <c r="E982" s="40"/>
    </row>
    <row r="983">
      <c r="E983" s="40"/>
    </row>
    <row r="984">
      <c r="E984" s="40"/>
    </row>
    <row r="985">
      <c r="E985" s="40"/>
    </row>
    <row r="986">
      <c r="E986" s="40"/>
    </row>
    <row r="987">
      <c r="E987" s="40"/>
    </row>
    <row r="988">
      <c r="E988" s="40"/>
    </row>
    <row r="989">
      <c r="E989" s="40"/>
    </row>
    <row r="990">
      <c r="E990" s="40"/>
    </row>
    <row r="991">
      <c r="E991" s="40"/>
    </row>
    <row r="992">
      <c r="E992" s="40"/>
    </row>
    <row r="993">
      <c r="E993" s="40"/>
    </row>
    <row r="994">
      <c r="E994" s="40"/>
    </row>
    <row r="995">
      <c r="E995" s="40"/>
    </row>
    <row r="996">
      <c r="E996" s="40"/>
    </row>
    <row r="997">
      <c r="E997" s="40"/>
    </row>
    <row r="998">
      <c r="E998" s="40"/>
    </row>
    <row r="999">
      <c r="E999" s="40"/>
    </row>
    <row r="1000">
      <c r="E1000" s="40"/>
    </row>
  </sheetData>
  <mergeCells count="14">
    <mergeCell ref="A164:J164"/>
    <mergeCell ref="A184:J184"/>
    <mergeCell ref="A188:J188"/>
    <mergeCell ref="A205:J205"/>
    <mergeCell ref="A218:J218"/>
    <mergeCell ref="A221:J221"/>
    <mergeCell ref="A225:J225"/>
    <mergeCell ref="A2:J2"/>
    <mergeCell ref="A59:J59"/>
    <mergeCell ref="A92:J92"/>
    <mergeCell ref="A107:J107"/>
    <mergeCell ref="A125:J125"/>
    <mergeCell ref="A126:J126"/>
    <mergeCell ref="A135:J135"/>
  </mergeCells>
  <dataValidations>
    <dataValidation type="list" allowBlank="1" showErrorMessage="1" sqref="C3:C58 C60:C91 C93:C106 C108:C124 C127:C134 C136:C163 C165:C183 C185:C187 C189:C204 C206:C217 C219:C220 C222:C224 C226:C233">
      <formula1>"Vegetables,Fruits,Flowers,Leafy Greens,Leaves,DAIRY,Pulses,Grains,Farm Pantry,Cereals,Millets"</formula1>
    </dataValidation>
    <dataValidation type="list" allowBlank="1" showErrorMessage="1" sqref="G3:G58 G60:G91 G93:G106 G108:G124 G127:G134 G136:G163 G165:G183 G185:G187 G189:G204 G206:G217 G219:G220 G222:G224 G226:G233">
      <formula1>"EXISTING,NEW"</formula1>
    </dataValidation>
    <dataValidation type="list" allowBlank="1" showErrorMessage="1" sqref="I3:I58 I60:I91 I93:I106 I108:I124 I127:I134 I136:I163 I165:I183 I185:I187 I189:I204 I206:I217 I219:I220 I222:I224 I226:I233">
      <formula1>"Stomach ailments; hair growth; herbal tea,Diabetes support; gum/teeth care,Dengue platelet remedy — very famous in AP/TS,Cold/cough; chutney (culinary too),Joint pain; swelling baths — village staple,Immunity booster — top Ayurvedic item,Steam inhalation;"&amp;" cold/congestion,Digestion; aroma,Digestive remedies,Hair care; traditional remedies,Traditional insecticide; skin use,Diabetes remedies (Telangana traditional),Culinary (paturi/wrapping); skin use,Asthma/wounds; devotional (sacred tree),Skin remedies; de"&amp;"votional (sacred tree),Hair care (pairs with your Mandara flower),soothing, healing, and anti-inflammatory properties,Kidney stone remedy; weight management,Diabetes management; bone health,Antimicrobial, throat soothing, natural prebiotic,High protein, g"&amp;"ut-friendly fiber, immune support,Antioxidant-rich, low calorie,Plant protein, selenium-rich,a nutrient-dense, gluten-certified ancient millet"</formula1>
    </dataValidation>
    <dataValidation type="list" allowBlank="1" showErrorMessage="1" sqref="D3:D58 D60:D91 D93:D106 D108:D124 D127:D134 D136:D163 D165:D183 D185:D187 D189:D204 D206:D217 D219:D220 D222:D224 D226:D233">
      <formula1>"Kg,Bundle,Piece,Dozen,LITRE"</formula1>
    </dataValidation>
    <dataValidation type="list" allowBlank="1" showErrorMessage="1" sqref="E3:E58 E60:E91 E93:E106 E108:E124 E127:E134 E136:E163 E165:E183 E185:E187 E189:E204 E206:E217 E219:E220 E222:E224 E226:E1000">
      <formula1>"Active,InActive"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7.0"/>
    <col customWidth="1" min="2" max="2" width="23.14"/>
    <col customWidth="1" min="3" max="3" width="22.29"/>
    <col customWidth="1" min="4" max="4" width="25.0"/>
    <col customWidth="1" min="5" max="5" width="69.71"/>
    <col customWidth="1" min="6" max="6" width="158.14"/>
    <col customWidth="1" min="7" max="7" width="46.14"/>
    <col customWidth="1" min="8" max="8" width="25.86"/>
    <col customWidth="1" min="9" max="9" width="38.71"/>
    <col customWidth="1" min="10" max="10" width="33.14"/>
    <col customWidth="1" min="11" max="11" width="25.57"/>
  </cols>
  <sheetData>
    <row r="1" ht="22.5" customHeight="1">
      <c r="A1" s="6" t="s">
        <v>20</v>
      </c>
      <c r="B1" s="6" t="s">
        <v>21</v>
      </c>
      <c r="C1" s="6" t="s">
        <v>22</v>
      </c>
      <c r="D1" s="6" t="s">
        <v>30</v>
      </c>
      <c r="E1" s="6" t="s">
        <v>33</v>
      </c>
      <c r="F1" s="6" t="s">
        <v>37</v>
      </c>
      <c r="G1" s="6" t="s">
        <v>43</v>
      </c>
      <c r="H1" s="6" t="s">
        <v>46</v>
      </c>
      <c r="I1" s="6" t="s">
        <v>5</v>
      </c>
      <c r="J1" s="6" t="s">
        <v>52</v>
      </c>
      <c r="K1" s="6" t="s">
        <v>56</v>
      </c>
    </row>
    <row r="2" ht="22.5" customHeight="1">
      <c r="A2" s="8" t="s">
        <v>61</v>
      </c>
      <c r="B2" s="8" t="s">
        <v>68</v>
      </c>
      <c r="C2" s="8">
        <v>8.801616021E9</v>
      </c>
      <c r="D2" s="8" t="s">
        <v>75</v>
      </c>
      <c r="E2" s="8" t="s">
        <v>80</v>
      </c>
      <c r="F2" s="8" t="s">
        <v>84</v>
      </c>
      <c r="G2" s="8" t="s">
        <v>88</v>
      </c>
      <c r="H2" s="8" t="s">
        <v>92</v>
      </c>
      <c r="I2" s="8" t="s">
        <v>95</v>
      </c>
      <c r="J2" s="10">
        <v>46274.470717592594</v>
      </c>
      <c r="K2" s="8" t="s">
        <v>104</v>
      </c>
    </row>
    <row r="3">
      <c r="A3" s="14" t="s">
        <v>111</v>
      </c>
      <c r="B3" s="14" t="s">
        <v>115</v>
      </c>
      <c r="C3" s="14">
        <v>9.573902622E9</v>
      </c>
      <c r="D3" s="14" t="s">
        <v>121</v>
      </c>
      <c r="E3" s="14" t="s">
        <v>122</v>
      </c>
      <c r="F3" s="14" t="s">
        <v>123</v>
      </c>
      <c r="G3" s="14" t="s">
        <v>125</v>
      </c>
      <c r="H3" s="14" t="s">
        <v>92</v>
      </c>
      <c r="I3" s="14" t="s">
        <v>95</v>
      </c>
      <c r="J3" s="15">
        <v>46276.37546296296</v>
      </c>
      <c r="K3" s="14" t="s">
        <v>130</v>
      </c>
    </row>
    <row r="4">
      <c r="A4" s="14" t="s">
        <v>132</v>
      </c>
      <c r="B4" s="14" t="s">
        <v>133</v>
      </c>
      <c r="C4" s="14">
        <v>8.096908161E9</v>
      </c>
      <c r="D4" s="14" t="s">
        <v>75</v>
      </c>
      <c r="E4" s="14" t="s">
        <v>80</v>
      </c>
      <c r="F4" s="14" t="s">
        <v>135</v>
      </c>
      <c r="G4" s="14" t="s">
        <v>136</v>
      </c>
      <c r="H4" s="14" t="s">
        <v>92</v>
      </c>
      <c r="I4" s="14" t="s">
        <v>95</v>
      </c>
      <c r="J4" s="15">
        <v>46277.41474537037</v>
      </c>
      <c r="K4" s="14" t="s">
        <v>104</v>
      </c>
    </row>
  </sheetData>
  <dataValidations>
    <dataValidation type="custom" allowBlank="1" showDropDown="1" sqref="J2">
      <formula1>OR(NOT(ISERROR(DATEVALUE(J2))), AND(ISNUMBER(J2), LEFT(CELL("format", J2))="D"))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7.43"/>
    <col customWidth="1" min="2" max="2" width="22.57"/>
    <col customWidth="1" min="3" max="3" width="31.0"/>
    <col customWidth="1" min="4" max="4" width="17.0"/>
    <col customWidth="1" min="5" max="5" width="26.29"/>
    <col customWidth="1" min="7" max="7" width="23.86"/>
    <col customWidth="1" min="8" max="8" width="17.0"/>
    <col customWidth="1" min="9" max="9" width="24.43"/>
    <col customWidth="1" min="10" max="11" width="35.43"/>
  </cols>
  <sheetData>
    <row r="1" ht="22.5" customHeight="1">
      <c r="A1" s="6" t="s">
        <v>325</v>
      </c>
      <c r="B1" s="6" t="s">
        <v>20</v>
      </c>
      <c r="C1" s="6" t="s">
        <v>329</v>
      </c>
      <c r="D1" s="6" t="s">
        <v>0</v>
      </c>
      <c r="E1" s="6" t="s">
        <v>1</v>
      </c>
      <c r="F1" s="6" t="s">
        <v>2</v>
      </c>
      <c r="G1" s="6" t="s">
        <v>342</v>
      </c>
      <c r="H1" s="6" t="s">
        <v>345</v>
      </c>
      <c r="I1" s="6" t="s">
        <v>346</v>
      </c>
      <c r="J1" s="23" t="s">
        <v>349</v>
      </c>
      <c r="K1" s="6" t="s">
        <v>5</v>
      </c>
    </row>
    <row r="2">
      <c r="A2" s="14" t="s">
        <v>356</v>
      </c>
      <c r="B2" s="14" t="s">
        <v>61</v>
      </c>
      <c r="C2" s="14" t="s">
        <v>68</v>
      </c>
      <c r="D2" s="14" t="s">
        <v>26</v>
      </c>
      <c r="E2" s="14" t="s">
        <v>28</v>
      </c>
      <c r="F2" s="14" t="s">
        <v>13</v>
      </c>
      <c r="G2" s="14">
        <v>100.0</v>
      </c>
      <c r="H2" s="14" t="s">
        <v>359</v>
      </c>
      <c r="I2" s="14" t="s">
        <v>92</v>
      </c>
      <c r="J2" s="16"/>
      <c r="K2" s="14" t="s">
        <v>361</v>
      </c>
    </row>
    <row r="3">
      <c r="A3" s="14" t="s">
        <v>363</v>
      </c>
      <c r="B3" s="14" t="s">
        <v>61</v>
      </c>
      <c r="C3" s="14" t="s">
        <v>68</v>
      </c>
      <c r="D3" s="14" t="s">
        <v>82</v>
      </c>
      <c r="E3" s="14" t="s">
        <v>83</v>
      </c>
      <c r="F3" s="14" t="s">
        <v>13</v>
      </c>
      <c r="G3" s="14">
        <v>60.0</v>
      </c>
      <c r="H3" s="14" t="s">
        <v>359</v>
      </c>
      <c r="I3" s="14" t="s">
        <v>92</v>
      </c>
      <c r="J3" s="14"/>
      <c r="K3" s="14" t="s">
        <v>366</v>
      </c>
    </row>
    <row r="4">
      <c r="A4" s="14" t="s">
        <v>367</v>
      </c>
      <c r="B4" s="14" t="s">
        <v>61</v>
      </c>
      <c r="C4" s="14" t="s">
        <v>68</v>
      </c>
      <c r="D4" s="14" t="s">
        <v>11</v>
      </c>
      <c r="E4" s="14" t="s">
        <v>12</v>
      </c>
      <c r="F4" s="14" t="s">
        <v>13</v>
      </c>
      <c r="G4" s="14">
        <v>200.0</v>
      </c>
      <c r="H4" s="14" t="s">
        <v>359</v>
      </c>
      <c r="I4" s="14" t="s">
        <v>92</v>
      </c>
      <c r="J4" s="14"/>
      <c r="K4" s="14" t="s">
        <v>366</v>
      </c>
    </row>
    <row r="5">
      <c r="A5" s="14" t="s">
        <v>371</v>
      </c>
      <c r="B5" s="14" t="s">
        <v>61</v>
      </c>
      <c r="C5" s="14" t="s">
        <v>68</v>
      </c>
      <c r="D5" s="14" t="s">
        <v>49</v>
      </c>
      <c r="E5" s="14" t="s">
        <v>50</v>
      </c>
      <c r="F5" s="14" t="s">
        <v>13</v>
      </c>
      <c r="G5" s="14">
        <v>150.0</v>
      </c>
      <c r="H5" s="14" t="s">
        <v>359</v>
      </c>
      <c r="I5" s="14" t="s">
        <v>92</v>
      </c>
      <c r="J5" s="14"/>
      <c r="K5" s="14" t="s">
        <v>374</v>
      </c>
    </row>
    <row r="6">
      <c r="A6" s="14" t="s">
        <v>375</v>
      </c>
      <c r="B6" s="14" t="s">
        <v>61</v>
      </c>
      <c r="C6" s="14" t="s">
        <v>68</v>
      </c>
      <c r="D6" s="14" t="s">
        <v>126</v>
      </c>
      <c r="E6" s="14" t="s">
        <v>128</v>
      </c>
      <c r="F6" s="14" t="s">
        <v>13</v>
      </c>
      <c r="G6" s="14">
        <v>40.0</v>
      </c>
      <c r="H6" s="14" t="s">
        <v>359</v>
      </c>
      <c r="I6" s="14" t="s">
        <v>92</v>
      </c>
    </row>
    <row r="7">
      <c r="A7" s="14" t="s">
        <v>379</v>
      </c>
      <c r="B7" s="14" t="s">
        <v>61</v>
      </c>
      <c r="C7" s="14" t="s">
        <v>68</v>
      </c>
      <c r="D7" s="14" t="s">
        <v>143</v>
      </c>
      <c r="E7" s="14" t="s">
        <v>144</v>
      </c>
      <c r="F7" s="14" t="s">
        <v>13</v>
      </c>
      <c r="G7" s="14">
        <v>50.0</v>
      </c>
      <c r="H7" s="14" t="s">
        <v>383</v>
      </c>
      <c r="I7" s="14" t="s">
        <v>92</v>
      </c>
    </row>
    <row r="8">
      <c r="A8" s="14" t="s">
        <v>384</v>
      </c>
      <c r="B8" s="14" t="s">
        <v>61</v>
      </c>
      <c r="C8" s="14" t="s">
        <v>68</v>
      </c>
      <c r="D8" s="14" t="s">
        <v>58</v>
      </c>
      <c r="E8" s="14" t="s">
        <v>59</v>
      </c>
      <c r="F8" s="14" t="s">
        <v>13</v>
      </c>
      <c r="G8" s="14">
        <v>60.0</v>
      </c>
      <c r="H8" s="14" t="s">
        <v>359</v>
      </c>
      <c r="I8" s="14" t="s">
        <v>92</v>
      </c>
      <c r="J8" s="14"/>
      <c r="K8" s="14" t="s">
        <v>387</v>
      </c>
    </row>
    <row r="9">
      <c r="A9" s="14" t="s">
        <v>388</v>
      </c>
      <c r="B9" s="14" t="s">
        <v>61</v>
      </c>
      <c r="C9" s="14" t="s">
        <v>68</v>
      </c>
      <c r="D9" s="14" t="s">
        <v>189</v>
      </c>
      <c r="E9" s="14" t="s">
        <v>190</v>
      </c>
      <c r="F9" s="14" t="s">
        <v>13</v>
      </c>
      <c r="G9" s="14">
        <v>100.0</v>
      </c>
      <c r="H9" s="14" t="s">
        <v>359</v>
      </c>
      <c r="I9" s="14" t="s">
        <v>92</v>
      </c>
      <c r="J9" s="14"/>
      <c r="K9" s="14" t="s">
        <v>374</v>
      </c>
    </row>
    <row r="10">
      <c r="A10" s="14" t="s">
        <v>391</v>
      </c>
      <c r="B10" s="14" t="s">
        <v>61</v>
      </c>
      <c r="C10" s="14" t="s">
        <v>68</v>
      </c>
      <c r="D10" s="14" t="s">
        <v>203</v>
      </c>
      <c r="E10" s="14" t="s">
        <v>204</v>
      </c>
      <c r="F10" s="14" t="s">
        <v>13</v>
      </c>
      <c r="G10" s="14">
        <v>60.0</v>
      </c>
      <c r="H10" s="14" t="s">
        <v>14</v>
      </c>
      <c r="I10" s="14" t="s">
        <v>92</v>
      </c>
      <c r="J10" s="14"/>
      <c r="K10" s="14" t="s">
        <v>394</v>
      </c>
    </row>
    <row r="11">
      <c r="A11" s="14" t="s">
        <v>395</v>
      </c>
      <c r="B11" s="14" t="s">
        <v>61</v>
      </c>
      <c r="C11" s="14" t="s">
        <v>68</v>
      </c>
      <c r="D11" s="14" t="s">
        <v>158</v>
      </c>
      <c r="E11" s="14" t="s">
        <v>159</v>
      </c>
      <c r="F11" s="14" t="s">
        <v>13</v>
      </c>
      <c r="G11" s="14">
        <v>100.0</v>
      </c>
      <c r="H11" s="14" t="s">
        <v>14</v>
      </c>
      <c r="I11" s="14" t="s">
        <v>92</v>
      </c>
      <c r="J11" s="14"/>
      <c r="K11" s="14" t="s">
        <v>399</v>
      </c>
    </row>
    <row r="12">
      <c r="A12" s="14" t="s">
        <v>401</v>
      </c>
      <c r="B12" s="14" t="s">
        <v>61</v>
      </c>
      <c r="C12" s="14" t="s">
        <v>68</v>
      </c>
      <c r="D12" s="14" t="s">
        <v>396</v>
      </c>
      <c r="E12" s="14" t="s">
        <v>397</v>
      </c>
      <c r="F12" s="14" t="s">
        <v>362</v>
      </c>
      <c r="G12" s="14">
        <v>10.0</v>
      </c>
      <c r="H12" s="14" t="s">
        <v>14</v>
      </c>
      <c r="I12" s="14" t="s">
        <v>92</v>
      </c>
    </row>
    <row r="13">
      <c r="A13" s="14" t="s">
        <v>404</v>
      </c>
      <c r="B13" s="14" t="s">
        <v>61</v>
      </c>
      <c r="C13" s="14" t="s">
        <v>68</v>
      </c>
      <c r="D13" s="14" t="s">
        <v>405</v>
      </c>
      <c r="E13" s="14" t="s">
        <v>406</v>
      </c>
      <c r="F13" s="14" t="s">
        <v>362</v>
      </c>
      <c r="G13" s="14">
        <v>100.0</v>
      </c>
      <c r="H13" s="14" t="s">
        <v>214</v>
      </c>
      <c r="I13" s="14" t="s">
        <v>92</v>
      </c>
    </row>
    <row r="14">
      <c r="A14" s="14" t="s">
        <v>409</v>
      </c>
      <c r="B14" s="14" t="s">
        <v>61</v>
      </c>
      <c r="C14" s="14" t="s">
        <v>68</v>
      </c>
      <c r="D14" s="14" t="s">
        <v>381</v>
      </c>
      <c r="E14" s="14" t="s">
        <v>382</v>
      </c>
      <c r="F14" s="14" t="s">
        <v>362</v>
      </c>
      <c r="G14" s="14">
        <v>100.0</v>
      </c>
      <c r="H14" s="14" t="s">
        <v>214</v>
      </c>
      <c r="I14" s="14" t="s">
        <v>92</v>
      </c>
      <c r="J14" s="14"/>
      <c r="K14" s="14" t="s">
        <v>366</v>
      </c>
    </row>
    <row r="15">
      <c r="A15" s="14" t="s">
        <v>412</v>
      </c>
      <c r="B15" s="14" t="s">
        <v>61</v>
      </c>
      <c r="C15" s="14" t="s">
        <v>68</v>
      </c>
      <c r="D15" s="14" t="s">
        <v>414</v>
      </c>
      <c r="E15" s="14" t="s">
        <v>415</v>
      </c>
      <c r="F15" s="14" t="s">
        <v>416</v>
      </c>
      <c r="G15" s="14">
        <v>1.0</v>
      </c>
      <c r="H15" s="14" t="s">
        <v>14</v>
      </c>
      <c r="I15" s="14" t="s">
        <v>418</v>
      </c>
      <c r="J15" s="14"/>
      <c r="K15" s="14" t="s">
        <v>419</v>
      </c>
    </row>
    <row r="16">
      <c r="A16" s="14" t="s">
        <v>420</v>
      </c>
      <c r="B16" s="14" t="s">
        <v>61</v>
      </c>
      <c r="C16" s="14" t="s">
        <v>68</v>
      </c>
      <c r="D16" s="14" t="s">
        <v>423</v>
      </c>
      <c r="E16" s="14" t="s">
        <v>424</v>
      </c>
      <c r="F16" s="14" t="s">
        <v>416</v>
      </c>
      <c r="G16" s="14">
        <v>50.0</v>
      </c>
      <c r="H16" s="14" t="s">
        <v>214</v>
      </c>
      <c r="I16" s="14" t="s">
        <v>418</v>
      </c>
    </row>
    <row r="17">
      <c r="A17" s="14" t="s">
        <v>425</v>
      </c>
      <c r="B17" s="14" t="s">
        <v>61</v>
      </c>
      <c r="C17" s="14" t="s">
        <v>68</v>
      </c>
      <c r="D17" s="14" t="s">
        <v>427</v>
      </c>
      <c r="E17" s="14" t="s">
        <v>428</v>
      </c>
      <c r="F17" s="14" t="s">
        <v>430</v>
      </c>
      <c r="G17" s="14">
        <v>100.0</v>
      </c>
      <c r="H17" s="14" t="s">
        <v>185</v>
      </c>
      <c r="I17" s="14" t="s">
        <v>92</v>
      </c>
    </row>
    <row r="18">
      <c r="A18" s="14" t="s">
        <v>432</v>
      </c>
      <c r="B18" s="14" t="s">
        <v>61</v>
      </c>
      <c r="C18" s="14" t="s">
        <v>68</v>
      </c>
      <c r="D18" s="14" t="s">
        <v>434</v>
      </c>
      <c r="E18" s="14" t="s">
        <v>435</v>
      </c>
      <c r="F18" s="14" t="s">
        <v>430</v>
      </c>
      <c r="G18" s="14">
        <v>100.0</v>
      </c>
      <c r="H18" s="14" t="s">
        <v>185</v>
      </c>
      <c r="I18" s="14" t="s">
        <v>92</v>
      </c>
    </row>
    <row r="19">
      <c r="A19" s="14" t="s">
        <v>438</v>
      </c>
      <c r="B19" s="14" t="s">
        <v>61</v>
      </c>
      <c r="C19" s="14" t="s">
        <v>68</v>
      </c>
      <c r="D19" s="14" t="s">
        <v>439</v>
      </c>
      <c r="E19" s="14" t="s">
        <v>440</v>
      </c>
      <c r="F19" s="14" t="s">
        <v>430</v>
      </c>
      <c r="G19" s="14">
        <v>100.0</v>
      </c>
      <c r="H19" s="14" t="s">
        <v>185</v>
      </c>
      <c r="I19" s="14" t="s">
        <v>92</v>
      </c>
      <c r="J19" s="14"/>
      <c r="K19" s="14" t="s">
        <v>441</v>
      </c>
    </row>
    <row r="20">
      <c r="A20" s="14" t="s">
        <v>442</v>
      </c>
      <c r="B20" s="14" t="s">
        <v>111</v>
      </c>
      <c r="C20" s="14" t="s">
        <v>115</v>
      </c>
      <c r="D20" s="14" t="s">
        <v>39</v>
      </c>
      <c r="E20" s="14" t="s">
        <v>41</v>
      </c>
      <c r="F20" s="14" t="s">
        <v>13</v>
      </c>
      <c r="G20" s="14">
        <v>60.0</v>
      </c>
      <c r="H20" s="14" t="s">
        <v>14</v>
      </c>
      <c r="I20" s="14" t="s">
        <v>92</v>
      </c>
      <c r="J20" s="24">
        <v>46276.0</v>
      </c>
      <c r="K20" s="14" t="s">
        <v>447</v>
      </c>
    </row>
    <row r="21">
      <c r="A21" s="14" t="s">
        <v>449</v>
      </c>
      <c r="B21" s="14" t="s">
        <v>111</v>
      </c>
      <c r="C21" s="14" t="s">
        <v>115</v>
      </c>
      <c r="D21" s="14" t="s">
        <v>312</v>
      </c>
      <c r="E21" s="14" t="s">
        <v>313</v>
      </c>
      <c r="F21" s="14" t="s">
        <v>13</v>
      </c>
      <c r="G21" s="14">
        <v>60.0</v>
      </c>
      <c r="H21" s="14" t="s">
        <v>14</v>
      </c>
      <c r="I21" s="14" t="s">
        <v>92</v>
      </c>
      <c r="J21" s="24">
        <v>46276.0</v>
      </c>
      <c r="K21" s="14" t="s">
        <v>451</v>
      </c>
    </row>
    <row r="22">
      <c r="A22" s="14" t="s">
        <v>454</v>
      </c>
      <c r="B22" s="14" t="s">
        <v>111</v>
      </c>
      <c r="C22" s="14" t="s">
        <v>115</v>
      </c>
      <c r="D22" s="14" t="s">
        <v>90</v>
      </c>
      <c r="E22" s="14" t="s">
        <v>93</v>
      </c>
      <c r="F22" s="14" t="s">
        <v>13</v>
      </c>
      <c r="G22" s="14">
        <v>20.0</v>
      </c>
      <c r="H22" s="14" t="s">
        <v>14</v>
      </c>
      <c r="I22" s="14" t="s">
        <v>92</v>
      </c>
      <c r="J22" s="24">
        <v>46276.0</v>
      </c>
      <c r="K22" s="14" t="s">
        <v>457</v>
      </c>
    </row>
    <row r="23">
      <c r="A23" s="14" t="s">
        <v>458</v>
      </c>
      <c r="B23" s="14" t="s">
        <v>111</v>
      </c>
      <c r="C23" s="14" t="s">
        <v>115</v>
      </c>
      <c r="D23" s="14" t="s">
        <v>176</v>
      </c>
      <c r="E23" s="14" t="s">
        <v>177</v>
      </c>
      <c r="F23" s="14" t="s">
        <v>13</v>
      </c>
      <c r="G23" s="14">
        <v>10.0</v>
      </c>
      <c r="H23" s="14" t="s">
        <v>370</v>
      </c>
      <c r="I23" s="14" t="s">
        <v>92</v>
      </c>
      <c r="J23" s="24">
        <v>46276.0</v>
      </c>
    </row>
    <row r="24">
      <c r="A24" s="14" t="s">
        <v>461</v>
      </c>
      <c r="B24" s="14" t="s">
        <v>111</v>
      </c>
      <c r="C24" s="14" t="s">
        <v>115</v>
      </c>
      <c r="D24" s="14" t="s">
        <v>462</v>
      </c>
      <c r="E24" s="14" t="s">
        <v>463</v>
      </c>
      <c r="F24" s="14" t="s">
        <v>465</v>
      </c>
      <c r="G24" s="14">
        <v>10.0</v>
      </c>
      <c r="H24" s="14" t="s">
        <v>185</v>
      </c>
      <c r="I24" s="14" t="s">
        <v>92</v>
      </c>
      <c r="J24" s="24">
        <v>46276.0</v>
      </c>
    </row>
    <row r="25">
      <c r="A25" s="14" t="s">
        <v>467</v>
      </c>
      <c r="B25" s="14" t="s">
        <v>111</v>
      </c>
      <c r="C25" s="14" t="s">
        <v>115</v>
      </c>
      <c r="D25" s="14" t="s">
        <v>470</v>
      </c>
      <c r="E25" s="14" t="s">
        <v>471</v>
      </c>
      <c r="F25" s="14" t="s">
        <v>430</v>
      </c>
      <c r="G25" s="14">
        <v>20.0</v>
      </c>
      <c r="H25" s="14" t="s">
        <v>185</v>
      </c>
      <c r="I25" s="14" t="s">
        <v>92</v>
      </c>
      <c r="J25" s="24">
        <v>46276.0</v>
      </c>
      <c r="K25" s="14" t="s">
        <v>474</v>
      </c>
    </row>
    <row r="26">
      <c r="A26" s="14" t="s">
        <v>475</v>
      </c>
      <c r="B26" s="14" t="s">
        <v>111</v>
      </c>
      <c r="C26" s="14" t="s">
        <v>115</v>
      </c>
      <c r="D26" s="14" t="s">
        <v>164</v>
      </c>
      <c r="E26" s="14" t="s">
        <v>165</v>
      </c>
      <c r="F26" s="14" t="s">
        <v>13</v>
      </c>
      <c r="G26" s="14">
        <v>10.0</v>
      </c>
      <c r="H26" s="14" t="s">
        <v>214</v>
      </c>
      <c r="I26" s="14" t="s">
        <v>92</v>
      </c>
      <c r="J26" s="24">
        <v>46276.0</v>
      </c>
    </row>
    <row r="27">
      <c r="A27" s="14" t="s">
        <v>480</v>
      </c>
      <c r="B27" s="14" t="s">
        <v>111</v>
      </c>
      <c r="C27" s="14" t="s">
        <v>115</v>
      </c>
      <c r="D27" s="14" t="s">
        <v>481</v>
      </c>
      <c r="E27" s="14" t="s">
        <v>483</v>
      </c>
      <c r="F27" s="14" t="s">
        <v>465</v>
      </c>
      <c r="G27" s="14">
        <v>30.0</v>
      </c>
      <c r="H27" s="14" t="s">
        <v>185</v>
      </c>
      <c r="I27" s="14" t="s">
        <v>92</v>
      </c>
      <c r="J27" s="24">
        <v>46276.0</v>
      </c>
    </row>
    <row r="28">
      <c r="A28" s="14" t="s">
        <v>485</v>
      </c>
      <c r="B28" s="14" t="s">
        <v>111</v>
      </c>
      <c r="C28" s="14" t="s">
        <v>115</v>
      </c>
      <c r="D28" s="14" t="s">
        <v>152</v>
      </c>
      <c r="E28" s="14" t="s">
        <v>153</v>
      </c>
      <c r="F28" s="14" t="s">
        <v>13</v>
      </c>
      <c r="G28" s="14">
        <v>10.0</v>
      </c>
      <c r="H28" s="14" t="s">
        <v>14</v>
      </c>
      <c r="I28" s="14" t="s">
        <v>92</v>
      </c>
      <c r="J28" s="24">
        <v>46276.0</v>
      </c>
    </row>
    <row r="29">
      <c r="A29" s="14" t="s">
        <v>488</v>
      </c>
      <c r="B29" s="14" t="s">
        <v>111</v>
      </c>
      <c r="C29" s="14" t="s">
        <v>115</v>
      </c>
      <c r="D29" s="14" t="s">
        <v>171</v>
      </c>
      <c r="E29" s="14" t="s">
        <v>172</v>
      </c>
      <c r="F29" s="14" t="s">
        <v>13</v>
      </c>
      <c r="G29" s="14">
        <v>10.0</v>
      </c>
      <c r="H29" s="14" t="s">
        <v>214</v>
      </c>
      <c r="I29" s="14" t="s">
        <v>92</v>
      </c>
      <c r="J29" s="24">
        <v>46276.0</v>
      </c>
    </row>
    <row r="30">
      <c r="A30" s="14" t="s">
        <v>492</v>
      </c>
      <c r="B30" s="14" t="s">
        <v>111</v>
      </c>
      <c r="C30" s="14" t="s">
        <v>115</v>
      </c>
      <c r="D30" s="14" t="s">
        <v>494</v>
      </c>
      <c r="E30" s="14" t="s">
        <v>495</v>
      </c>
      <c r="F30" s="14" t="s">
        <v>465</v>
      </c>
      <c r="G30" s="14">
        <v>30.0</v>
      </c>
      <c r="H30" s="14" t="s">
        <v>185</v>
      </c>
      <c r="I30" s="14" t="s">
        <v>92</v>
      </c>
      <c r="J30" s="24">
        <v>46276.0</v>
      </c>
    </row>
    <row r="31">
      <c r="A31" s="14" t="s">
        <v>498</v>
      </c>
      <c r="B31" s="14" t="s">
        <v>111</v>
      </c>
      <c r="C31" s="14" t="s">
        <v>115</v>
      </c>
      <c r="D31" s="14" t="s">
        <v>499</v>
      </c>
      <c r="E31" s="14" t="s">
        <v>501</v>
      </c>
      <c r="F31" s="14" t="s">
        <v>465</v>
      </c>
      <c r="G31" s="14">
        <v>30.0</v>
      </c>
      <c r="H31" s="14" t="s">
        <v>185</v>
      </c>
      <c r="I31" s="14" t="s">
        <v>92</v>
      </c>
      <c r="J31" s="24">
        <v>46276.0</v>
      </c>
      <c r="K31" s="14" t="s">
        <v>503</v>
      </c>
    </row>
    <row r="32">
      <c r="A32" s="14" t="s">
        <v>504</v>
      </c>
      <c r="B32" s="14" t="s">
        <v>111</v>
      </c>
      <c r="C32" s="14" t="s">
        <v>115</v>
      </c>
      <c r="D32" s="14" t="s">
        <v>182</v>
      </c>
      <c r="E32" s="14" t="s">
        <v>184</v>
      </c>
      <c r="F32" s="14" t="s">
        <v>13</v>
      </c>
      <c r="G32" s="14">
        <v>10.0</v>
      </c>
      <c r="H32" s="14" t="s">
        <v>185</v>
      </c>
      <c r="I32" s="14" t="s">
        <v>92</v>
      </c>
      <c r="J32" s="24">
        <v>46276.0</v>
      </c>
      <c r="K32" s="14" t="s">
        <v>507</v>
      </c>
    </row>
    <row r="33">
      <c r="A33" s="14" t="s">
        <v>508</v>
      </c>
      <c r="B33" s="14" t="s">
        <v>111</v>
      </c>
      <c r="C33" s="14" t="s">
        <v>115</v>
      </c>
      <c r="D33" s="14" t="s">
        <v>510</v>
      </c>
      <c r="E33" s="14" t="s">
        <v>511</v>
      </c>
      <c r="F33" s="14" t="s">
        <v>465</v>
      </c>
      <c r="G33" s="14">
        <v>100.0</v>
      </c>
      <c r="H33" s="14" t="s">
        <v>185</v>
      </c>
      <c r="I33" s="14" t="s">
        <v>92</v>
      </c>
      <c r="J33" s="24">
        <v>46276.0</v>
      </c>
      <c r="K33" s="14" t="s">
        <v>513</v>
      </c>
    </row>
    <row r="34">
      <c r="A34" s="14" t="s">
        <v>514</v>
      </c>
      <c r="B34" s="14" t="s">
        <v>111</v>
      </c>
      <c r="C34" s="14" t="s">
        <v>115</v>
      </c>
      <c r="D34" s="14" t="s">
        <v>516</v>
      </c>
      <c r="E34" s="14" t="s">
        <v>518</v>
      </c>
      <c r="F34" s="14" t="s">
        <v>465</v>
      </c>
      <c r="G34" s="14">
        <v>30.0</v>
      </c>
      <c r="H34" s="14" t="s">
        <v>185</v>
      </c>
      <c r="I34" s="14" t="s">
        <v>92</v>
      </c>
      <c r="J34" s="24">
        <v>46276.0</v>
      </c>
      <c r="K34" s="14" t="s">
        <v>513</v>
      </c>
    </row>
    <row r="35">
      <c r="A35" s="14" t="s">
        <v>519</v>
      </c>
      <c r="B35" s="14" t="s">
        <v>111</v>
      </c>
      <c r="C35" s="14" t="s">
        <v>115</v>
      </c>
      <c r="D35" s="14" t="s">
        <v>112</v>
      </c>
      <c r="E35" s="14" t="s">
        <v>114</v>
      </c>
      <c r="F35" s="14" t="s">
        <v>13</v>
      </c>
      <c r="G35" s="14">
        <v>20.0</v>
      </c>
      <c r="H35" s="14" t="s">
        <v>14</v>
      </c>
      <c r="I35" s="14" t="s">
        <v>92</v>
      </c>
      <c r="J35" s="24">
        <v>46276.0</v>
      </c>
    </row>
    <row r="36">
      <c r="A36" s="14" t="s">
        <v>523</v>
      </c>
      <c r="B36" s="14" t="s">
        <v>111</v>
      </c>
      <c r="C36" s="14" t="s">
        <v>115</v>
      </c>
      <c r="D36" s="14" t="s">
        <v>212</v>
      </c>
      <c r="E36" s="14" t="s">
        <v>213</v>
      </c>
      <c r="F36" s="14" t="s">
        <v>13</v>
      </c>
      <c r="G36" s="14">
        <v>30.0</v>
      </c>
      <c r="H36" s="14" t="s">
        <v>14</v>
      </c>
      <c r="I36" s="14" t="s">
        <v>92</v>
      </c>
      <c r="J36" s="24">
        <v>46276.0</v>
      </c>
    </row>
    <row r="37">
      <c r="A37" s="14" t="s">
        <v>526</v>
      </c>
      <c r="B37" s="14" t="s">
        <v>111</v>
      </c>
      <c r="C37" s="14" t="s">
        <v>115</v>
      </c>
      <c r="D37" s="14" t="s">
        <v>219</v>
      </c>
      <c r="E37" s="14" t="s">
        <v>221</v>
      </c>
      <c r="F37" s="14" t="s">
        <v>13</v>
      </c>
      <c r="G37" s="14">
        <v>40.0</v>
      </c>
      <c r="H37" s="14" t="s">
        <v>14</v>
      </c>
      <c r="I37" s="14" t="s">
        <v>92</v>
      </c>
      <c r="J37" s="24">
        <v>46276.0</v>
      </c>
    </row>
    <row r="38">
      <c r="A38" s="14" t="s">
        <v>530</v>
      </c>
      <c r="B38" s="14" t="s">
        <v>111</v>
      </c>
      <c r="C38" s="14" t="s">
        <v>115</v>
      </c>
      <c r="D38" s="14" t="s">
        <v>531</v>
      </c>
      <c r="E38" s="14" t="s">
        <v>533</v>
      </c>
      <c r="F38" s="14" t="s">
        <v>430</v>
      </c>
      <c r="G38" s="14">
        <v>30.0</v>
      </c>
      <c r="H38" s="14" t="s">
        <v>185</v>
      </c>
      <c r="I38" s="14" t="s">
        <v>92</v>
      </c>
      <c r="J38" s="24">
        <v>46276.0</v>
      </c>
      <c r="K38" s="14" t="s">
        <v>535</v>
      </c>
    </row>
    <row r="39">
      <c r="A39" s="14" t="s">
        <v>536</v>
      </c>
      <c r="B39" s="14" t="s">
        <v>111</v>
      </c>
      <c r="C39" s="14" t="s">
        <v>115</v>
      </c>
      <c r="D39" s="14" t="s">
        <v>538</v>
      </c>
      <c r="E39" s="14" t="s">
        <v>539</v>
      </c>
      <c r="F39" s="14" t="s">
        <v>430</v>
      </c>
      <c r="G39" s="14">
        <v>30.0</v>
      </c>
      <c r="H39" s="14" t="s">
        <v>185</v>
      </c>
      <c r="I39" s="14" t="s">
        <v>92</v>
      </c>
      <c r="J39" s="24">
        <v>46276.0</v>
      </c>
    </row>
    <row r="40">
      <c r="A40" s="14" t="s">
        <v>542</v>
      </c>
      <c r="B40" s="14" t="s">
        <v>111</v>
      </c>
      <c r="C40" s="14" t="s">
        <v>115</v>
      </c>
      <c r="D40" s="14" t="s">
        <v>543</v>
      </c>
      <c r="E40" s="14" t="s">
        <v>544</v>
      </c>
      <c r="F40" s="14" t="s">
        <v>430</v>
      </c>
      <c r="G40" s="14">
        <v>30.0</v>
      </c>
      <c r="H40" s="14" t="s">
        <v>185</v>
      </c>
      <c r="I40" s="14" t="s">
        <v>92</v>
      </c>
      <c r="J40" s="24">
        <v>46276.0</v>
      </c>
    </row>
    <row r="41">
      <c r="A41" s="14" t="s">
        <v>548</v>
      </c>
      <c r="B41" s="14" t="s">
        <v>111</v>
      </c>
      <c r="C41" s="14" t="s">
        <v>115</v>
      </c>
      <c r="D41" s="14" t="s">
        <v>549</v>
      </c>
      <c r="E41" s="14" t="s">
        <v>550</v>
      </c>
      <c r="F41" s="14" t="s">
        <v>430</v>
      </c>
      <c r="G41" s="14">
        <v>10.0</v>
      </c>
      <c r="H41" s="14" t="s">
        <v>185</v>
      </c>
      <c r="I41" s="14" t="s">
        <v>92</v>
      </c>
      <c r="J41" s="24">
        <v>46276.0</v>
      </c>
      <c r="K41" s="14" t="s">
        <v>553</v>
      </c>
    </row>
    <row r="42">
      <c r="A42" s="14" t="s">
        <v>554</v>
      </c>
      <c r="B42" s="14" t="s">
        <v>111</v>
      </c>
      <c r="C42" s="14" t="s">
        <v>115</v>
      </c>
      <c r="D42" s="14" t="s">
        <v>556</v>
      </c>
      <c r="E42" s="14" t="s">
        <v>557</v>
      </c>
      <c r="F42" s="14" t="s">
        <v>430</v>
      </c>
      <c r="G42" s="14">
        <v>10.0</v>
      </c>
      <c r="H42" s="14" t="s">
        <v>185</v>
      </c>
      <c r="I42" s="14" t="s">
        <v>92</v>
      </c>
      <c r="J42" s="24">
        <v>46276.0</v>
      </c>
    </row>
    <row r="43">
      <c r="A43" s="14" t="s">
        <v>560</v>
      </c>
      <c r="B43" s="14" t="s">
        <v>111</v>
      </c>
      <c r="C43" s="14" t="s">
        <v>115</v>
      </c>
      <c r="D43" s="14" t="s">
        <v>561</v>
      </c>
      <c r="E43" s="14" t="s">
        <v>563</v>
      </c>
      <c r="F43" s="14" t="s">
        <v>430</v>
      </c>
      <c r="G43" s="14">
        <v>10.0</v>
      </c>
      <c r="H43" s="14" t="s">
        <v>185</v>
      </c>
      <c r="I43" s="14" t="s">
        <v>92</v>
      </c>
      <c r="J43" s="24">
        <v>46276.0</v>
      </c>
    </row>
    <row r="44">
      <c r="A44" s="14" t="s">
        <v>566</v>
      </c>
      <c r="B44" s="14" t="s">
        <v>111</v>
      </c>
      <c r="C44" s="14" t="s">
        <v>115</v>
      </c>
      <c r="D44" s="14" t="s">
        <v>567</v>
      </c>
      <c r="E44" s="14" t="s">
        <v>568</v>
      </c>
      <c r="F44" s="14" t="s">
        <v>430</v>
      </c>
      <c r="G44" s="14">
        <v>10.0</v>
      </c>
      <c r="H44" s="14" t="s">
        <v>185</v>
      </c>
      <c r="I44" s="14" t="s">
        <v>92</v>
      </c>
      <c r="J44" s="24">
        <v>46276.0</v>
      </c>
    </row>
    <row r="45">
      <c r="A45" s="14" t="s">
        <v>572</v>
      </c>
      <c r="B45" s="14" t="s">
        <v>111</v>
      </c>
      <c r="C45" s="14" t="s">
        <v>115</v>
      </c>
      <c r="D45" s="14" t="s">
        <v>574</v>
      </c>
      <c r="E45" s="14" t="s">
        <v>575</v>
      </c>
      <c r="F45" s="14" t="s">
        <v>430</v>
      </c>
      <c r="G45" s="14">
        <v>10.0</v>
      </c>
      <c r="H45" s="14" t="s">
        <v>185</v>
      </c>
      <c r="I45" s="14" t="s">
        <v>92</v>
      </c>
      <c r="J45" s="24">
        <v>46276.0</v>
      </c>
    </row>
    <row r="46">
      <c r="A46" s="14" t="s">
        <v>580</v>
      </c>
      <c r="B46" s="14" t="s">
        <v>111</v>
      </c>
      <c r="C46" s="14" t="s">
        <v>115</v>
      </c>
      <c r="D46" s="14" t="s">
        <v>581</v>
      </c>
      <c r="E46" s="14" t="s">
        <v>582</v>
      </c>
      <c r="F46" s="14" t="s">
        <v>430</v>
      </c>
      <c r="G46" s="14">
        <v>10.0</v>
      </c>
      <c r="H46" s="14" t="s">
        <v>185</v>
      </c>
      <c r="I46" s="14" t="s">
        <v>92</v>
      </c>
      <c r="J46" s="24">
        <v>46276.0</v>
      </c>
    </row>
    <row r="47">
      <c r="A47" s="14" t="s">
        <v>586</v>
      </c>
      <c r="B47" s="14" t="s">
        <v>111</v>
      </c>
      <c r="C47" s="14" t="s">
        <v>115</v>
      </c>
      <c r="D47" s="14" t="s">
        <v>587</v>
      </c>
      <c r="E47" s="14" t="s">
        <v>589</v>
      </c>
      <c r="F47" s="14" t="s">
        <v>430</v>
      </c>
      <c r="G47" s="14">
        <v>10.0</v>
      </c>
      <c r="H47" s="14" t="s">
        <v>185</v>
      </c>
      <c r="I47" s="14" t="s">
        <v>92</v>
      </c>
      <c r="J47" s="24">
        <v>46276.0</v>
      </c>
    </row>
    <row r="48">
      <c r="A48" s="14" t="s">
        <v>594</v>
      </c>
      <c r="B48" s="14" t="s">
        <v>111</v>
      </c>
      <c r="C48" s="14" t="s">
        <v>115</v>
      </c>
      <c r="D48" s="14" t="s">
        <v>596</v>
      </c>
      <c r="E48" s="14" t="s">
        <v>597</v>
      </c>
      <c r="F48" s="14" t="s">
        <v>430</v>
      </c>
      <c r="G48" s="14">
        <v>10.0</v>
      </c>
      <c r="H48" s="14" t="s">
        <v>185</v>
      </c>
      <c r="I48" s="14" t="s">
        <v>92</v>
      </c>
      <c r="J48" s="24">
        <v>46276.0</v>
      </c>
    </row>
    <row r="49">
      <c r="A49" s="14" t="s">
        <v>602</v>
      </c>
      <c r="B49" s="14" t="s">
        <v>111</v>
      </c>
      <c r="C49" s="14" t="s">
        <v>115</v>
      </c>
      <c r="D49" s="14" t="s">
        <v>604</v>
      </c>
      <c r="E49" s="14" t="s">
        <v>606</v>
      </c>
      <c r="F49" s="14" t="s">
        <v>430</v>
      </c>
      <c r="G49" s="14">
        <v>10.0</v>
      </c>
      <c r="H49" s="14" t="s">
        <v>185</v>
      </c>
      <c r="I49" s="14" t="s">
        <v>92</v>
      </c>
      <c r="J49" s="24">
        <v>46276.0</v>
      </c>
    </row>
    <row r="50">
      <c r="A50" s="14" t="s">
        <v>608</v>
      </c>
      <c r="B50" s="14" t="s">
        <v>111</v>
      </c>
      <c r="C50" s="14" t="s">
        <v>115</v>
      </c>
      <c r="D50" s="14" t="s">
        <v>611</v>
      </c>
      <c r="E50" s="14" t="s">
        <v>613</v>
      </c>
      <c r="F50" s="14" t="s">
        <v>430</v>
      </c>
      <c r="G50" s="14">
        <v>10.0</v>
      </c>
      <c r="H50" s="14" t="s">
        <v>185</v>
      </c>
      <c r="I50" s="14" t="s">
        <v>92</v>
      </c>
      <c r="J50" s="24">
        <v>46276.0</v>
      </c>
    </row>
    <row r="51">
      <c r="A51" s="14" t="s">
        <v>614</v>
      </c>
      <c r="B51" s="14" t="s">
        <v>111</v>
      </c>
      <c r="C51" s="14" t="s">
        <v>115</v>
      </c>
      <c r="D51" s="14" t="s">
        <v>616</v>
      </c>
      <c r="E51" s="14" t="s">
        <v>618</v>
      </c>
      <c r="F51" s="14" t="s">
        <v>430</v>
      </c>
      <c r="G51" s="14">
        <v>10.0</v>
      </c>
      <c r="H51" s="14" t="s">
        <v>185</v>
      </c>
      <c r="I51" s="14" t="s">
        <v>92</v>
      </c>
      <c r="J51" s="24">
        <v>46276.0</v>
      </c>
    </row>
    <row r="52">
      <c r="A52" s="14" t="s">
        <v>620</v>
      </c>
      <c r="B52" s="14" t="s">
        <v>111</v>
      </c>
      <c r="C52" s="14" t="s">
        <v>115</v>
      </c>
      <c r="D52" s="14" t="s">
        <v>621</v>
      </c>
      <c r="E52" s="14" t="s">
        <v>624</v>
      </c>
      <c r="F52" s="14" t="s">
        <v>430</v>
      </c>
      <c r="G52" s="14">
        <v>10.0</v>
      </c>
      <c r="H52" s="14" t="s">
        <v>185</v>
      </c>
      <c r="I52" s="14" t="s">
        <v>92</v>
      </c>
      <c r="J52" s="24">
        <v>46276.0</v>
      </c>
    </row>
    <row r="53">
      <c r="A53" s="14" t="s">
        <v>626</v>
      </c>
      <c r="B53" s="14" t="s">
        <v>111</v>
      </c>
      <c r="C53" s="14" t="s">
        <v>115</v>
      </c>
      <c r="D53" s="14" t="s">
        <v>628</v>
      </c>
      <c r="E53" s="14" t="s">
        <v>632</v>
      </c>
      <c r="F53" s="14" t="s">
        <v>430</v>
      </c>
      <c r="G53" s="14">
        <v>10.0</v>
      </c>
      <c r="H53" s="14" t="s">
        <v>185</v>
      </c>
      <c r="I53" s="14" t="s">
        <v>92</v>
      </c>
      <c r="J53" s="24">
        <v>46276.0</v>
      </c>
    </row>
    <row r="54">
      <c r="A54" s="14" t="s">
        <v>639</v>
      </c>
      <c r="B54" s="14" t="s">
        <v>111</v>
      </c>
      <c r="C54" s="14" t="s">
        <v>115</v>
      </c>
      <c r="D54" s="14" t="s">
        <v>319</v>
      </c>
      <c r="E54" s="14" t="s">
        <v>642</v>
      </c>
      <c r="F54" s="14" t="s">
        <v>13</v>
      </c>
      <c r="G54" s="14">
        <v>30.0</v>
      </c>
      <c r="H54" s="14" t="s">
        <v>14</v>
      </c>
      <c r="I54" s="14" t="s">
        <v>92</v>
      </c>
      <c r="J54" s="24">
        <v>46276.0</v>
      </c>
    </row>
    <row r="55">
      <c r="A55" s="14" t="s">
        <v>646</v>
      </c>
      <c r="B55" s="14" t="s">
        <v>111</v>
      </c>
      <c r="C55" s="14" t="s">
        <v>115</v>
      </c>
      <c r="D55" s="14" t="s">
        <v>330</v>
      </c>
      <c r="E55" s="14" t="s">
        <v>651</v>
      </c>
      <c r="F55" s="14" t="s">
        <v>13</v>
      </c>
      <c r="G55" s="14">
        <v>30.0</v>
      </c>
      <c r="H55" s="14" t="s">
        <v>14</v>
      </c>
      <c r="I55" s="14" t="s">
        <v>92</v>
      </c>
      <c r="J55" s="24">
        <v>46276.0</v>
      </c>
    </row>
    <row r="56">
      <c r="A56" s="14" t="s">
        <v>657</v>
      </c>
      <c r="B56" s="14" t="s">
        <v>111</v>
      </c>
      <c r="C56" s="14" t="s">
        <v>115</v>
      </c>
      <c r="D56" s="14" t="s">
        <v>207</v>
      </c>
      <c r="E56" s="14" t="s">
        <v>208</v>
      </c>
      <c r="F56" s="14" t="s">
        <v>13</v>
      </c>
      <c r="G56" s="14">
        <v>20.0</v>
      </c>
      <c r="H56" s="14" t="s">
        <v>14</v>
      </c>
      <c r="I56" s="14" t="s">
        <v>92</v>
      </c>
      <c r="J56" s="24">
        <v>46276.0</v>
      </c>
    </row>
    <row r="57">
      <c r="A57" s="14" t="s">
        <v>663</v>
      </c>
      <c r="B57" s="14" t="s">
        <v>111</v>
      </c>
      <c r="C57" s="14" t="s">
        <v>115</v>
      </c>
      <c r="D57" s="14" t="s">
        <v>666</v>
      </c>
      <c r="E57" s="14" t="s">
        <v>669</v>
      </c>
      <c r="F57" s="14" t="s">
        <v>465</v>
      </c>
      <c r="G57" s="14">
        <v>20.0</v>
      </c>
      <c r="H57" s="14" t="s">
        <v>185</v>
      </c>
      <c r="I57" s="14" t="s">
        <v>92</v>
      </c>
      <c r="J57" s="24">
        <v>46276.0</v>
      </c>
    </row>
    <row r="58">
      <c r="A58" s="14" t="s">
        <v>675</v>
      </c>
      <c r="B58" s="14" t="s">
        <v>111</v>
      </c>
      <c r="C58" s="14" t="s">
        <v>115</v>
      </c>
      <c r="D58" s="14" t="s">
        <v>680</v>
      </c>
      <c r="E58" s="14" t="s">
        <v>682</v>
      </c>
      <c r="F58" s="14" t="s">
        <v>465</v>
      </c>
      <c r="G58" s="14">
        <v>20.0</v>
      </c>
      <c r="H58" s="14" t="s">
        <v>185</v>
      </c>
      <c r="I58" s="14" t="s">
        <v>92</v>
      </c>
      <c r="J58" s="24">
        <v>46276.0</v>
      </c>
    </row>
    <row r="59">
      <c r="A59" s="14" t="s">
        <v>689</v>
      </c>
      <c r="B59" s="14" t="s">
        <v>111</v>
      </c>
      <c r="C59" s="14" t="s">
        <v>115</v>
      </c>
      <c r="D59" s="14" t="s">
        <v>402</v>
      </c>
      <c r="E59" s="14" t="s">
        <v>403</v>
      </c>
      <c r="F59" s="14" t="s">
        <v>362</v>
      </c>
      <c r="G59" s="14">
        <v>15.0</v>
      </c>
      <c r="H59" s="14" t="s">
        <v>214</v>
      </c>
      <c r="I59" s="14" t="s">
        <v>92</v>
      </c>
      <c r="J59" s="24">
        <v>46276.0</v>
      </c>
    </row>
    <row r="60">
      <c r="A60" s="14" t="s">
        <v>694</v>
      </c>
      <c r="B60" s="14" t="s">
        <v>111</v>
      </c>
      <c r="C60" s="14" t="s">
        <v>115</v>
      </c>
      <c r="D60" s="14" t="s">
        <v>696</v>
      </c>
      <c r="E60" s="14" t="s">
        <v>697</v>
      </c>
      <c r="F60" s="14" t="s">
        <v>430</v>
      </c>
      <c r="G60" s="14">
        <v>20.0</v>
      </c>
      <c r="H60" s="14" t="s">
        <v>185</v>
      </c>
      <c r="I60" s="14" t="s">
        <v>92</v>
      </c>
      <c r="J60" s="24">
        <v>46276.0</v>
      </c>
    </row>
    <row r="61">
      <c r="A61" s="14" t="s">
        <v>698</v>
      </c>
      <c r="B61" s="14" t="s">
        <v>111</v>
      </c>
      <c r="C61" s="14" t="s">
        <v>115</v>
      </c>
      <c r="D61" s="14" t="s">
        <v>431</v>
      </c>
      <c r="E61" s="14" t="s">
        <v>433</v>
      </c>
      <c r="F61" s="14" t="s">
        <v>362</v>
      </c>
      <c r="G61" s="14">
        <v>10.0</v>
      </c>
      <c r="H61" s="14" t="s">
        <v>214</v>
      </c>
      <c r="I61" s="14" t="s">
        <v>92</v>
      </c>
      <c r="J61" s="24">
        <v>46276.0</v>
      </c>
    </row>
    <row r="62">
      <c r="A62" s="14" t="s">
        <v>703</v>
      </c>
      <c r="B62" s="14" t="s">
        <v>111</v>
      </c>
      <c r="C62" s="14" t="s">
        <v>115</v>
      </c>
      <c r="D62" s="14" t="s">
        <v>389</v>
      </c>
      <c r="E62" s="14" t="s">
        <v>390</v>
      </c>
      <c r="F62" s="14" t="s">
        <v>362</v>
      </c>
      <c r="G62" s="14">
        <v>10.0</v>
      </c>
      <c r="H62" s="14" t="s">
        <v>214</v>
      </c>
      <c r="I62" s="14" t="s">
        <v>92</v>
      </c>
      <c r="J62" s="24">
        <v>46276.0</v>
      </c>
    </row>
    <row r="63">
      <c r="A63" s="14" t="s">
        <v>707</v>
      </c>
      <c r="B63" s="14" t="s">
        <v>111</v>
      </c>
      <c r="C63" s="14" t="s">
        <v>115</v>
      </c>
      <c r="D63" s="14" t="s">
        <v>709</v>
      </c>
      <c r="E63" s="14" t="s">
        <v>710</v>
      </c>
      <c r="F63" s="14" t="s">
        <v>712</v>
      </c>
      <c r="G63" s="14">
        <v>5.0</v>
      </c>
      <c r="H63" s="14" t="s">
        <v>713</v>
      </c>
      <c r="I63" s="14" t="s">
        <v>92</v>
      </c>
      <c r="J63" s="24">
        <v>46276.0</v>
      </c>
      <c r="K63" s="14" t="s">
        <v>717</v>
      </c>
    </row>
    <row r="64">
      <c r="A64" s="14" t="s">
        <v>719</v>
      </c>
      <c r="B64" s="14" t="s">
        <v>111</v>
      </c>
      <c r="C64" s="14" t="s">
        <v>115</v>
      </c>
      <c r="D64" s="14" t="s">
        <v>720</v>
      </c>
      <c r="E64" s="14" t="s">
        <v>722</v>
      </c>
      <c r="F64" s="14" t="s">
        <v>712</v>
      </c>
      <c r="G64" s="14">
        <v>10.0</v>
      </c>
      <c r="H64" s="14" t="s">
        <v>713</v>
      </c>
      <c r="I64" s="14" t="s">
        <v>92</v>
      </c>
      <c r="J64" s="24">
        <v>46276.0</v>
      </c>
    </row>
    <row r="65">
      <c r="A65" s="14" t="s">
        <v>724</v>
      </c>
      <c r="B65" s="14" t="s">
        <v>111</v>
      </c>
      <c r="C65" s="14" t="s">
        <v>115</v>
      </c>
      <c r="D65" s="14" t="s">
        <v>726</v>
      </c>
      <c r="E65" s="14" t="s">
        <v>728</v>
      </c>
      <c r="F65" s="14" t="s">
        <v>712</v>
      </c>
      <c r="G65" s="14">
        <v>3.0</v>
      </c>
      <c r="H65" s="14" t="s">
        <v>713</v>
      </c>
      <c r="I65" s="14" t="s">
        <v>92</v>
      </c>
      <c r="J65" s="24">
        <v>46276.0</v>
      </c>
      <c r="K65" s="14" t="s">
        <v>731</v>
      </c>
    </row>
    <row r="66">
      <c r="A66" s="14" t="s">
        <v>734</v>
      </c>
      <c r="B66" s="14" t="s">
        <v>132</v>
      </c>
      <c r="C66" s="14" t="s">
        <v>133</v>
      </c>
      <c r="D66" s="14" t="s">
        <v>736</v>
      </c>
      <c r="E66" s="14" t="s">
        <v>737</v>
      </c>
      <c r="F66" s="14" t="s">
        <v>430</v>
      </c>
      <c r="G66" s="14">
        <v>10.0</v>
      </c>
      <c r="H66" s="14" t="s">
        <v>185</v>
      </c>
      <c r="I66" s="14" t="s">
        <v>92</v>
      </c>
      <c r="J66" s="24">
        <v>46277.0</v>
      </c>
    </row>
    <row r="67">
      <c r="A67" s="14" t="s">
        <v>740</v>
      </c>
      <c r="B67" s="14" t="s">
        <v>132</v>
      </c>
      <c r="C67" s="14" t="s">
        <v>133</v>
      </c>
      <c r="D67" s="14" t="s">
        <v>741</v>
      </c>
      <c r="E67" s="14" t="s">
        <v>742</v>
      </c>
      <c r="F67" s="14" t="s">
        <v>430</v>
      </c>
      <c r="G67" s="14">
        <v>10.0</v>
      </c>
      <c r="H67" s="14" t="s">
        <v>185</v>
      </c>
      <c r="I67" s="14" t="s">
        <v>92</v>
      </c>
      <c r="J67" s="24">
        <v>46277.0</v>
      </c>
    </row>
    <row r="68">
      <c r="A68" s="14" t="s">
        <v>746</v>
      </c>
      <c r="B68" s="14" t="s">
        <v>132</v>
      </c>
      <c r="C68" s="14" t="s">
        <v>133</v>
      </c>
      <c r="D68" s="14" t="s">
        <v>747</v>
      </c>
      <c r="E68" s="14" t="s">
        <v>748</v>
      </c>
      <c r="F68" s="14" t="s">
        <v>430</v>
      </c>
      <c r="G68" s="14">
        <v>10.0</v>
      </c>
      <c r="H68" s="14" t="s">
        <v>185</v>
      </c>
      <c r="I68" s="14" t="s">
        <v>92</v>
      </c>
      <c r="J68" s="24">
        <v>46277.0</v>
      </c>
    </row>
    <row r="69">
      <c r="A69" s="14" t="s">
        <v>754</v>
      </c>
      <c r="B69" s="14" t="s">
        <v>132</v>
      </c>
      <c r="C69" s="14" t="s">
        <v>133</v>
      </c>
      <c r="D69" s="14" t="s">
        <v>725</v>
      </c>
      <c r="E69" s="14" t="s">
        <v>727</v>
      </c>
      <c r="F69" s="14" t="s">
        <v>416</v>
      </c>
      <c r="G69" s="14">
        <v>2.0</v>
      </c>
      <c r="H69" s="14" t="s">
        <v>14</v>
      </c>
      <c r="I69" s="14" t="s">
        <v>92</v>
      </c>
      <c r="J69" s="24">
        <v>46277.0</v>
      </c>
    </row>
    <row r="70">
      <c r="A70" s="14" t="s">
        <v>759</v>
      </c>
      <c r="B70" s="14" t="s">
        <v>132</v>
      </c>
      <c r="C70" s="14" t="s">
        <v>133</v>
      </c>
      <c r="D70" s="14" t="s">
        <v>106</v>
      </c>
      <c r="E70" s="14" t="s">
        <v>107</v>
      </c>
      <c r="F70" s="14" t="s">
        <v>13</v>
      </c>
      <c r="G70" s="14">
        <v>10.0</v>
      </c>
      <c r="H70" s="14" t="s">
        <v>14</v>
      </c>
      <c r="I70" s="14" t="s">
        <v>92</v>
      </c>
      <c r="J70" s="24">
        <v>46277.0</v>
      </c>
    </row>
    <row r="71">
      <c r="A71" s="14" t="s">
        <v>766</v>
      </c>
      <c r="B71" s="14" t="s">
        <v>132</v>
      </c>
      <c r="C71" s="14" t="s">
        <v>133</v>
      </c>
      <c r="D71" s="14" t="s">
        <v>229</v>
      </c>
      <c r="E71" s="14" t="s">
        <v>230</v>
      </c>
      <c r="F71" s="14" t="s">
        <v>13</v>
      </c>
      <c r="G71" s="14">
        <v>5.0</v>
      </c>
      <c r="H71" s="14" t="s">
        <v>14</v>
      </c>
      <c r="I71" s="14" t="s">
        <v>92</v>
      </c>
      <c r="J71" s="24">
        <v>46277.0</v>
      </c>
    </row>
    <row r="72">
      <c r="A72" s="14" t="s">
        <v>785</v>
      </c>
      <c r="B72" s="14" t="s">
        <v>132</v>
      </c>
      <c r="C72" s="14" t="s">
        <v>133</v>
      </c>
      <c r="D72" s="14" t="s">
        <v>423</v>
      </c>
      <c r="E72" s="14" t="s">
        <v>424</v>
      </c>
      <c r="F72" s="14" t="s">
        <v>416</v>
      </c>
      <c r="G72" s="14">
        <v>10.0</v>
      </c>
      <c r="H72" s="14" t="s">
        <v>370</v>
      </c>
      <c r="I72" s="14" t="s">
        <v>92</v>
      </c>
      <c r="J72" s="24">
        <v>46277.0</v>
      </c>
    </row>
    <row r="73">
      <c r="A73" s="14" t="s">
        <v>794</v>
      </c>
      <c r="B73" s="14" t="s">
        <v>132</v>
      </c>
      <c r="C73" s="14" t="s">
        <v>133</v>
      </c>
      <c r="D73" s="14" t="s">
        <v>368</v>
      </c>
      <c r="E73" s="14" t="s">
        <v>369</v>
      </c>
      <c r="F73" s="14" t="s">
        <v>362</v>
      </c>
      <c r="G73" s="14">
        <v>10.0</v>
      </c>
      <c r="H73" s="14" t="s">
        <v>370</v>
      </c>
      <c r="I73" s="14" t="s">
        <v>92</v>
      </c>
      <c r="J73" s="24">
        <v>46277.0</v>
      </c>
    </row>
    <row r="74">
      <c r="A74" s="14" t="s">
        <v>797</v>
      </c>
      <c r="B74" s="14" t="s">
        <v>132</v>
      </c>
      <c r="C74" s="14" t="s">
        <v>133</v>
      </c>
      <c r="D74" s="14" t="s">
        <v>799</v>
      </c>
      <c r="E74" s="14" t="s">
        <v>800</v>
      </c>
      <c r="F74" s="14" t="s">
        <v>430</v>
      </c>
      <c r="G74" s="14">
        <v>40.0</v>
      </c>
      <c r="H74" s="14" t="s">
        <v>214</v>
      </c>
      <c r="I74" s="14" t="s">
        <v>92</v>
      </c>
      <c r="J74" s="24">
        <v>46277.0</v>
      </c>
    </row>
    <row r="75">
      <c r="A75" s="14" t="s">
        <v>804</v>
      </c>
      <c r="B75" s="14" t="s">
        <v>132</v>
      </c>
      <c r="C75" s="14" t="s">
        <v>133</v>
      </c>
      <c r="D75" s="14" t="s">
        <v>288</v>
      </c>
      <c r="E75" s="14" t="s">
        <v>289</v>
      </c>
      <c r="F75" s="14" t="s">
        <v>13</v>
      </c>
      <c r="G75" s="14">
        <v>5.0</v>
      </c>
      <c r="H75" s="14" t="s">
        <v>14</v>
      </c>
      <c r="I75" s="14" t="s">
        <v>92</v>
      </c>
      <c r="J75" s="24">
        <v>46277.0</v>
      </c>
    </row>
    <row r="76">
      <c r="A76" s="14" t="s">
        <v>809</v>
      </c>
      <c r="B76" s="14" t="s">
        <v>132</v>
      </c>
      <c r="C76" s="14" t="s">
        <v>133</v>
      </c>
      <c r="D76" s="14" t="s">
        <v>376</v>
      </c>
      <c r="E76" s="14" t="s">
        <v>377</v>
      </c>
      <c r="F76" s="14" t="s">
        <v>362</v>
      </c>
      <c r="G76" s="14">
        <v>200.0</v>
      </c>
      <c r="H76" s="14" t="s">
        <v>214</v>
      </c>
      <c r="I76" s="14" t="s">
        <v>92</v>
      </c>
      <c r="J76" s="24">
        <v>46277.0</v>
      </c>
    </row>
    <row r="77">
      <c r="A77" s="14" t="s">
        <v>813</v>
      </c>
      <c r="B77" s="14" t="s">
        <v>132</v>
      </c>
      <c r="C77" s="14" t="s">
        <v>133</v>
      </c>
      <c r="D77" s="14" t="s">
        <v>815</v>
      </c>
      <c r="E77" s="14" t="s">
        <v>816</v>
      </c>
      <c r="F77" s="14" t="s">
        <v>430</v>
      </c>
      <c r="G77" s="14">
        <v>10.0</v>
      </c>
      <c r="H77" s="14" t="s">
        <v>185</v>
      </c>
      <c r="I77" s="14" t="s">
        <v>92</v>
      </c>
      <c r="J77" s="24">
        <v>46277.0</v>
      </c>
    </row>
    <row r="78">
      <c r="A78" s="14" t="s">
        <v>820</v>
      </c>
      <c r="B78" s="14" t="s">
        <v>132</v>
      </c>
      <c r="C78" s="14" t="s">
        <v>133</v>
      </c>
      <c r="D78" s="14" t="s">
        <v>757</v>
      </c>
      <c r="E78" s="14" t="s">
        <v>758</v>
      </c>
      <c r="F78" s="14" t="s">
        <v>416</v>
      </c>
      <c r="G78" s="14">
        <v>30.0</v>
      </c>
      <c r="H78" s="14" t="s">
        <v>185</v>
      </c>
      <c r="I78" s="14" t="s">
        <v>92</v>
      </c>
      <c r="J78" s="24">
        <v>46277.0</v>
      </c>
    </row>
    <row r="79">
      <c r="A79" s="14" t="s">
        <v>826</v>
      </c>
      <c r="B79" s="14" t="s">
        <v>132</v>
      </c>
      <c r="C79" s="14" t="s">
        <v>133</v>
      </c>
      <c r="D79" s="14" t="s">
        <v>684</v>
      </c>
      <c r="E79" s="14" t="s">
        <v>686</v>
      </c>
      <c r="F79" s="14" t="s">
        <v>416</v>
      </c>
      <c r="G79" s="14">
        <v>50.0</v>
      </c>
      <c r="H79" s="14" t="s">
        <v>14</v>
      </c>
      <c r="I79" s="14" t="s">
        <v>92</v>
      </c>
      <c r="J79" s="24">
        <v>46277.0</v>
      </c>
    </row>
    <row r="80">
      <c r="A80" s="14" t="s">
        <v>832</v>
      </c>
      <c r="B80" s="14" t="s">
        <v>132</v>
      </c>
      <c r="C80" s="14" t="s">
        <v>133</v>
      </c>
      <c r="D80" s="14" t="s">
        <v>793</v>
      </c>
      <c r="E80" s="14" t="s">
        <v>795</v>
      </c>
      <c r="F80" s="14" t="s">
        <v>416</v>
      </c>
      <c r="G80" s="14">
        <v>50.0</v>
      </c>
      <c r="H80" s="14" t="s">
        <v>14</v>
      </c>
      <c r="I80" s="14" t="s">
        <v>92</v>
      </c>
      <c r="J80" s="24">
        <v>46277.0</v>
      </c>
    </row>
    <row r="81">
      <c r="A81" s="14" t="s">
        <v>835</v>
      </c>
      <c r="B81" s="14" t="s">
        <v>132</v>
      </c>
      <c r="C81" s="14" t="s">
        <v>133</v>
      </c>
      <c r="D81" s="14" t="s">
        <v>249</v>
      </c>
      <c r="E81" s="14" t="s">
        <v>251</v>
      </c>
      <c r="F81" s="14" t="s">
        <v>13</v>
      </c>
      <c r="G81" s="14">
        <v>30.0</v>
      </c>
      <c r="H81" s="14" t="s">
        <v>14</v>
      </c>
      <c r="I81" s="14" t="s">
        <v>92</v>
      </c>
      <c r="J81" s="24">
        <v>46277.0</v>
      </c>
    </row>
    <row r="82">
      <c r="A82" s="14" t="s">
        <v>840</v>
      </c>
      <c r="B82" s="14" t="s">
        <v>132</v>
      </c>
      <c r="C82" s="14" t="s">
        <v>133</v>
      </c>
      <c r="D82" s="14" t="s">
        <v>73</v>
      </c>
      <c r="E82" s="14" t="s">
        <v>74</v>
      </c>
      <c r="F82" s="14" t="s">
        <v>13</v>
      </c>
      <c r="G82" s="14">
        <v>40.0</v>
      </c>
      <c r="H82" s="14" t="s">
        <v>14</v>
      </c>
      <c r="I82" s="14" t="s">
        <v>92</v>
      </c>
      <c r="J82" s="24">
        <v>46277.0</v>
      </c>
    </row>
    <row r="83">
      <c r="A83" s="14" t="s">
        <v>845</v>
      </c>
      <c r="B83" s="14" t="s">
        <v>132</v>
      </c>
      <c r="C83" s="14" t="s">
        <v>133</v>
      </c>
      <c r="D83" s="14" t="s">
        <v>714</v>
      </c>
      <c r="E83" s="14" t="s">
        <v>716</v>
      </c>
      <c r="F83" s="14" t="s">
        <v>416</v>
      </c>
      <c r="G83" s="14">
        <v>5.0</v>
      </c>
      <c r="H83" s="14" t="s">
        <v>14</v>
      </c>
      <c r="I83" s="14" t="s">
        <v>92</v>
      </c>
      <c r="J83" s="24">
        <v>46279.0</v>
      </c>
      <c r="K83" s="14" t="s">
        <v>849</v>
      </c>
    </row>
    <row r="84">
      <c r="A84" s="14" t="s">
        <v>851</v>
      </c>
      <c r="B84" s="14" t="s">
        <v>132</v>
      </c>
      <c r="C84" s="14" t="s">
        <v>133</v>
      </c>
      <c r="D84" s="14" t="s">
        <v>857</v>
      </c>
      <c r="E84" s="14" t="s">
        <v>860</v>
      </c>
      <c r="F84" s="14" t="s">
        <v>861</v>
      </c>
      <c r="G84" s="14">
        <v>100.0</v>
      </c>
      <c r="H84" s="14" t="s">
        <v>14</v>
      </c>
      <c r="I84" s="14" t="s">
        <v>92</v>
      </c>
      <c r="J84" s="24">
        <v>46281.0</v>
      </c>
    </row>
    <row r="85">
      <c r="A85" s="14" t="s">
        <v>864</v>
      </c>
      <c r="B85" s="14" t="s">
        <v>132</v>
      </c>
      <c r="C85" s="14" t="s">
        <v>133</v>
      </c>
      <c r="D85" s="14" t="s">
        <v>100</v>
      </c>
      <c r="E85" s="14" t="s">
        <v>101</v>
      </c>
      <c r="F85" s="14" t="s">
        <v>13</v>
      </c>
      <c r="G85" s="14">
        <v>5.0</v>
      </c>
      <c r="H85" s="14" t="s">
        <v>14</v>
      </c>
      <c r="I85" s="14" t="s">
        <v>92</v>
      </c>
      <c r="J85" s="24">
        <v>46288.0</v>
      </c>
    </row>
    <row r="86">
      <c r="A86" s="14" t="s">
        <v>869</v>
      </c>
      <c r="B86" s="14" t="s">
        <v>132</v>
      </c>
      <c r="C86" s="14" t="s">
        <v>133</v>
      </c>
      <c r="D86" s="14" t="s">
        <v>872</v>
      </c>
      <c r="E86" s="14" t="s">
        <v>873</v>
      </c>
      <c r="G86" s="14">
        <v>3.0</v>
      </c>
      <c r="H86" s="14" t="s">
        <v>185</v>
      </c>
      <c r="I86" s="14" t="s">
        <v>92</v>
      </c>
      <c r="J86" s="24">
        <v>46289.0</v>
      </c>
    </row>
    <row r="87">
      <c r="A87" s="14" t="s">
        <v>877</v>
      </c>
      <c r="B87" s="14" t="s">
        <v>111</v>
      </c>
      <c r="C87" s="14" t="s">
        <v>115</v>
      </c>
      <c r="D87" s="14" t="s">
        <v>515</v>
      </c>
      <c r="E87" s="14" t="s">
        <v>517</v>
      </c>
      <c r="F87" s="14" t="s">
        <v>362</v>
      </c>
      <c r="G87" s="14">
        <v>20.0</v>
      </c>
      <c r="H87" s="14" t="s">
        <v>14</v>
      </c>
      <c r="I87" s="14" t="s">
        <v>92</v>
      </c>
      <c r="J87" s="24">
        <v>46289.0</v>
      </c>
    </row>
    <row r="88">
      <c r="A88" s="14" t="s">
        <v>882</v>
      </c>
      <c r="B88" s="14" t="s">
        <v>111</v>
      </c>
      <c r="C88" s="14" t="s">
        <v>115</v>
      </c>
      <c r="D88" s="14" t="s">
        <v>225</v>
      </c>
      <c r="E88" s="14" t="s">
        <v>226</v>
      </c>
      <c r="F88" s="14" t="s">
        <v>13</v>
      </c>
      <c r="G88" s="14">
        <v>100.0</v>
      </c>
      <c r="H88" s="14" t="s">
        <v>214</v>
      </c>
      <c r="I88" s="14" t="s">
        <v>92</v>
      </c>
      <c r="J88" s="24">
        <v>46289.0</v>
      </c>
    </row>
    <row r="89">
      <c r="A89" s="14" t="s">
        <v>887</v>
      </c>
      <c r="B89" s="14" t="s">
        <v>132</v>
      </c>
      <c r="C89" s="14" t="s">
        <v>133</v>
      </c>
      <c r="D89" s="14" t="s">
        <v>889</v>
      </c>
      <c r="E89" s="14" t="s">
        <v>892</v>
      </c>
      <c r="F89" s="14" t="s">
        <v>893</v>
      </c>
      <c r="G89" s="14">
        <v>25.0</v>
      </c>
      <c r="H89" s="14" t="s">
        <v>14</v>
      </c>
      <c r="I89" s="14" t="s">
        <v>92</v>
      </c>
      <c r="J89" s="24">
        <v>46293.0</v>
      </c>
    </row>
    <row r="90">
      <c r="A90" s="14" t="s">
        <v>899</v>
      </c>
      <c r="B90" s="14" t="s">
        <v>132</v>
      </c>
      <c r="C90" s="14" t="s">
        <v>133</v>
      </c>
      <c r="D90" s="14" t="s">
        <v>900</v>
      </c>
      <c r="E90" s="14" t="s">
        <v>901</v>
      </c>
      <c r="F90" s="14" t="s">
        <v>893</v>
      </c>
      <c r="G90" s="14">
        <v>25.0</v>
      </c>
      <c r="H90" s="14" t="s">
        <v>14</v>
      </c>
      <c r="I90" s="14" t="s">
        <v>92</v>
      </c>
      <c r="J90" s="24">
        <v>46293.0</v>
      </c>
    </row>
    <row r="91">
      <c r="A91" s="14" t="s">
        <v>907</v>
      </c>
      <c r="B91" s="14" t="s">
        <v>132</v>
      </c>
      <c r="C91" s="14" t="s">
        <v>133</v>
      </c>
      <c r="D91" s="14" t="s">
        <v>910</v>
      </c>
      <c r="E91" s="14" t="s">
        <v>912</v>
      </c>
      <c r="F91" s="14" t="s">
        <v>893</v>
      </c>
      <c r="G91" s="14">
        <v>25.0</v>
      </c>
      <c r="H91" s="14" t="s">
        <v>14</v>
      </c>
      <c r="I91" s="14" t="s">
        <v>92</v>
      </c>
      <c r="J91" s="24">
        <v>46293.0</v>
      </c>
    </row>
    <row r="92">
      <c r="A92" s="14" t="s">
        <v>915</v>
      </c>
      <c r="B92" s="14" t="s">
        <v>132</v>
      </c>
      <c r="C92" s="14" t="s">
        <v>133</v>
      </c>
      <c r="D92" s="14" t="s">
        <v>916</v>
      </c>
      <c r="E92" s="14" t="s">
        <v>918</v>
      </c>
      <c r="F92" s="14" t="s">
        <v>893</v>
      </c>
      <c r="G92" s="14">
        <v>25.0</v>
      </c>
      <c r="H92" s="14" t="s">
        <v>14</v>
      </c>
      <c r="I92" s="14" t="s">
        <v>92</v>
      </c>
      <c r="J92" s="24">
        <v>46293.0</v>
      </c>
    </row>
    <row r="93">
      <c r="A93" s="14" t="s">
        <v>924</v>
      </c>
      <c r="B93" s="14" t="s">
        <v>132</v>
      </c>
      <c r="C93" s="14" t="s">
        <v>133</v>
      </c>
      <c r="D93" s="14" t="s">
        <v>926</v>
      </c>
      <c r="E93" s="14" t="s">
        <v>928</v>
      </c>
      <c r="F93" s="14" t="s">
        <v>893</v>
      </c>
      <c r="G93" s="14">
        <v>25.0</v>
      </c>
      <c r="H93" s="14" t="s">
        <v>14</v>
      </c>
      <c r="I93" s="14" t="s">
        <v>92</v>
      </c>
      <c r="J93" s="24">
        <v>46293.0</v>
      </c>
    </row>
    <row r="94">
      <c r="A94" s="14" t="s">
        <v>930</v>
      </c>
      <c r="B94" s="14" t="s">
        <v>132</v>
      </c>
      <c r="C94" s="14" t="s">
        <v>133</v>
      </c>
      <c r="D94" s="14" t="s">
        <v>932</v>
      </c>
      <c r="E94" s="14" t="s">
        <v>934</v>
      </c>
      <c r="F94" s="14" t="s">
        <v>893</v>
      </c>
      <c r="G94" s="14">
        <v>25.0</v>
      </c>
      <c r="H94" s="14" t="s">
        <v>14</v>
      </c>
      <c r="I94" s="14" t="s">
        <v>92</v>
      </c>
      <c r="J94" s="24">
        <v>46293.0</v>
      </c>
    </row>
    <row r="95">
      <c r="A95" s="14" t="s">
        <v>938</v>
      </c>
      <c r="B95" s="14" t="s">
        <v>132</v>
      </c>
      <c r="C95" s="14" t="s">
        <v>133</v>
      </c>
      <c r="D95" s="14" t="s">
        <v>939</v>
      </c>
      <c r="E95" s="14" t="s">
        <v>940</v>
      </c>
      <c r="F95" s="14" t="s">
        <v>893</v>
      </c>
      <c r="G95" s="14">
        <v>25.0</v>
      </c>
      <c r="H95" s="14" t="s">
        <v>14</v>
      </c>
      <c r="I95" s="14" t="s">
        <v>92</v>
      </c>
      <c r="J95" s="24">
        <v>46293.0</v>
      </c>
    </row>
    <row r="96">
      <c r="A96" s="14" t="s">
        <v>945</v>
      </c>
      <c r="B96" s="14" t="s">
        <v>132</v>
      </c>
      <c r="C96" s="14" t="s">
        <v>133</v>
      </c>
      <c r="D96" s="14" t="s">
        <v>946</v>
      </c>
      <c r="E96" s="14" t="s">
        <v>947</v>
      </c>
      <c r="F96" s="14" t="s">
        <v>893</v>
      </c>
      <c r="G96" s="14">
        <v>25.0</v>
      </c>
      <c r="H96" s="14" t="s">
        <v>14</v>
      </c>
      <c r="I96" s="14" t="s">
        <v>92</v>
      </c>
      <c r="J96" s="24">
        <v>46293.0</v>
      </c>
    </row>
    <row r="97">
      <c r="A97" s="14" t="s">
        <v>950</v>
      </c>
      <c r="B97" s="14" t="s">
        <v>111</v>
      </c>
      <c r="C97" s="14" t="s">
        <v>115</v>
      </c>
      <c r="D97" s="14" t="s">
        <v>953</v>
      </c>
      <c r="E97" s="14" t="s">
        <v>956</v>
      </c>
      <c r="F97" s="14" t="s">
        <v>958</v>
      </c>
      <c r="G97" s="14">
        <v>50.0</v>
      </c>
      <c r="H97" s="14" t="s">
        <v>14</v>
      </c>
      <c r="I97" s="14" t="s">
        <v>92</v>
      </c>
      <c r="J97" s="24">
        <v>46296.0</v>
      </c>
    </row>
    <row r="98">
      <c r="A98" s="14" t="s">
        <v>960</v>
      </c>
      <c r="B98" s="14" t="s">
        <v>132</v>
      </c>
      <c r="C98" s="14" t="s">
        <v>133</v>
      </c>
      <c r="D98" s="14" t="s">
        <v>962</v>
      </c>
      <c r="E98" s="14" t="s">
        <v>963</v>
      </c>
      <c r="F98" s="14" t="s">
        <v>966</v>
      </c>
      <c r="G98" s="14">
        <v>100.0</v>
      </c>
      <c r="H98" s="14" t="s">
        <v>14</v>
      </c>
      <c r="I98" s="14" t="s">
        <v>92</v>
      </c>
      <c r="J98" s="24">
        <v>46296.0</v>
      </c>
    </row>
    <row r="99">
      <c r="A99" s="14" t="s">
        <v>970</v>
      </c>
      <c r="B99" s="14" t="s">
        <v>132</v>
      </c>
      <c r="C99" s="14" t="s">
        <v>133</v>
      </c>
      <c r="D99" s="14" t="s">
        <v>972</v>
      </c>
      <c r="E99" s="14" t="s">
        <v>974</v>
      </c>
      <c r="F99" s="14" t="s">
        <v>966</v>
      </c>
      <c r="G99" s="14">
        <v>100.0</v>
      </c>
      <c r="H99" s="14" t="s">
        <v>14</v>
      </c>
      <c r="I99" s="14" t="s">
        <v>92</v>
      </c>
      <c r="J99" s="24">
        <v>46296.0</v>
      </c>
    </row>
    <row r="100">
      <c r="A100" s="14" t="s">
        <v>978</v>
      </c>
      <c r="B100" s="14" t="s">
        <v>132</v>
      </c>
      <c r="C100" s="14" t="s">
        <v>133</v>
      </c>
      <c r="D100" s="14" t="s">
        <v>659</v>
      </c>
      <c r="E100" s="14" t="s">
        <v>661</v>
      </c>
      <c r="F100" s="14" t="s">
        <v>362</v>
      </c>
      <c r="G100" s="14">
        <v>20.0</v>
      </c>
      <c r="H100" s="14" t="s">
        <v>214</v>
      </c>
      <c r="I100" s="14" t="s">
        <v>92</v>
      </c>
      <c r="J100" s="24">
        <v>46298.0</v>
      </c>
    </row>
    <row r="101">
      <c r="A101" s="14" t="s">
        <v>986</v>
      </c>
      <c r="B101" s="14" t="s">
        <v>132</v>
      </c>
      <c r="C101" s="14" t="s">
        <v>133</v>
      </c>
      <c r="D101" s="14" t="s">
        <v>476</v>
      </c>
      <c r="E101" s="14" t="s">
        <v>477</v>
      </c>
      <c r="F101" s="14" t="s">
        <v>362</v>
      </c>
      <c r="G101" s="14">
        <v>10.0</v>
      </c>
      <c r="H101" s="14" t="s">
        <v>14</v>
      </c>
      <c r="I101" s="14" t="s">
        <v>92</v>
      </c>
      <c r="J101" s="24">
        <v>46301.0</v>
      </c>
    </row>
    <row r="102">
      <c r="A102" s="14" t="s">
        <v>991</v>
      </c>
      <c r="B102" s="14" t="s">
        <v>61</v>
      </c>
      <c r="C102" s="14" t="s">
        <v>68</v>
      </c>
      <c r="D102" s="14" t="s">
        <v>994</v>
      </c>
      <c r="E102" s="14" t="s">
        <v>995</v>
      </c>
      <c r="F102" s="14" t="s">
        <v>958</v>
      </c>
      <c r="G102" s="14">
        <v>20.0</v>
      </c>
      <c r="H102" s="14" t="s">
        <v>185</v>
      </c>
      <c r="I102" s="14" t="s">
        <v>92</v>
      </c>
      <c r="J102" s="24">
        <v>46301.0</v>
      </c>
    </row>
    <row r="307">
      <c r="C307" s="32"/>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2.57"/>
    <col customWidth="1" min="2" max="4" width="29.57"/>
    <col customWidth="1" min="5" max="5" width="26.71"/>
    <col customWidth="1" min="6" max="6" width="21.57"/>
    <col customWidth="1" min="7" max="7" width="29.0"/>
    <col customWidth="1" min="8" max="8" width="20.29"/>
    <col customWidth="1" min="9" max="9" width="17.71"/>
    <col customWidth="1" min="11" max="11" width="28.0"/>
    <col customWidth="1" min="12" max="12" width="26.29"/>
    <col customWidth="1" min="13" max="13" width="16.71"/>
    <col customWidth="1" min="14" max="14" width="16.57"/>
    <col customWidth="1" min="15" max="15" width="23.57"/>
    <col customWidth="1" min="16" max="16" width="29.14"/>
    <col customWidth="1" min="17" max="19" width="26.57"/>
    <col customWidth="1" min="20" max="21" width="39.0"/>
    <col customWidth="1" min="22" max="22" width="44.57"/>
  </cols>
  <sheetData>
    <row r="1" ht="22.5" customHeight="1">
      <c r="A1" s="25" t="s">
        <v>522</v>
      </c>
      <c r="B1" s="6" t="s">
        <v>529</v>
      </c>
      <c r="C1" s="6" t="s">
        <v>325</v>
      </c>
      <c r="D1" s="6" t="s">
        <v>20</v>
      </c>
      <c r="E1" s="6" t="s">
        <v>540</v>
      </c>
      <c r="F1" s="6" t="s">
        <v>0</v>
      </c>
      <c r="G1" s="6" t="s">
        <v>547</v>
      </c>
      <c r="H1" s="6" t="s">
        <v>2</v>
      </c>
      <c r="I1" s="6" t="s">
        <v>555</v>
      </c>
      <c r="J1" s="6" t="s">
        <v>345</v>
      </c>
      <c r="K1" s="6" t="s">
        <v>562</v>
      </c>
      <c r="L1" s="6" t="s">
        <v>46</v>
      </c>
      <c r="M1" s="6" t="s">
        <v>570</v>
      </c>
      <c r="N1" s="6" t="s">
        <v>573</v>
      </c>
      <c r="O1" s="6" t="s">
        <v>577</v>
      </c>
      <c r="P1" s="6" t="s">
        <v>583</v>
      </c>
      <c r="Q1" s="6" t="s">
        <v>590</v>
      </c>
      <c r="R1" s="6" t="s">
        <v>595</v>
      </c>
      <c r="S1" s="6" t="s">
        <v>599</v>
      </c>
      <c r="T1" s="6" t="s">
        <v>605</v>
      </c>
      <c r="U1" s="6" t="s">
        <v>609</v>
      </c>
      <c r="V1" s="6" t="s">
        <v>5</v>
      </c>
    </row>
    <row r="2">
      <c r="A2" s="14" t="s">
        <v>619</v>
      </c>
      <c r="B2" s="24">
        <v>46274.0</v>
      </c>
      <c r="C2" s="14" t="s">
        <v>356</v>
      </c>
      <c r="D2" s="14" t="s">
        <v>61</v>
      </c>
      <c r="E2" s="14" t="s">
        <v>622</v>
      </c>
      <c r="F2" s="14" t="s">
        <v>26</v>
      </c>
      <c r="G2" s="14" t="s">
        <v>28</v>
      </c>
      <c r="H2" s="14" t="s">
        <v>13</v>
      </c>
      <c r="I2" s="14">
        <v>69.0</v>
      </c>
      <c r="J2" s="14" t="s">
        <v>14</v>
      </c>
      <c r="K2" s="14">
        <v>29.0</v>
      </c>
      <c r="L2" s="14" t="s">
        <v>627</v>
      </c>
      <c r="M2" s="14" t="s">
        <v>130</v>
      </c>
      <c r="N2" s="14" t="s">
        <v>629</v>
      </c>
      <c r="O2" s="14" t="s">
        <v>631</v>
      </c>
      <c r="P2" s="14">
        <v>30.0</v>
      </c>
      <c r="Q2" s="14">
        <v>30.0</v>
      </c>
      <c r="R2" s="14">
        <v>42.0</v>
      </c>
      <c r="S2" s="14">
        <v>45.0</v>
      </c>
      <c r="T2" s="14" t="s">
        <v>633</v>
      </c>
      <c r="U2" s="14">
        <v>24.0</v>
      </c>
      <c r="V2" s="14" t="s">
        <v>637</v>
      </c>
    </row>
    <row r="3">
      <c r="A3" s="14" t="s">
        <v>638</v>
      </c>
      <c r="B3" s="24">
        <v>46274.0</v>
      </c>
      <c r="C3" s="14" t="s">
        <v>363</v>
      </c>
      <c r="D3" s="14" t="s">
        <v>61</v>
      </c>
      <c r="E3" s="14" t="s">
        <v>640</v>
      </c>
      <c r="F3" s="14" t="s">
        <v>82</v>
      </c>
      <c r="G3" s="14" t="s">
        <v>83</v>
      </c>
      <c r="H3" s="14" t="s">
        <v>13</v>
      </c>
      <c r="I3" s="14">
        <v>40.0</v>
      </c>
      <c r="J3" s="14" t="s">
        <v>14</v>
      </c>
      <c r="K3" s="14">
        <v>40.0</v>
      </c>
      <c r="L3" s="14" t="s">
        <v>627</v>
      </c>
      <c r="M3" s="14" t="s">
        <v>130</v>
      </c>
      <c r="N3" s="14" t="s">
        <v>629</v>
      </c>
      <c r="O3" s="14" t="s">
        <v>648</v>
      </c>
      <c r="P3" s="14">
        <v>40.0</v>
      </c>
      <c r="Q3" s="14">
        <v>40.0</v>
      </c>
      <c r="R3" s="14">
        <v>49.0</v>
      </c>
      <c r="S3" s="14">
        <v>70.0</v>
      </c>
      <c r="T3" s="14" t="s">
        <v>652</v>
      </c>
      <c r="U3" s="14">
        <v>40.0</v>
      </c>
      <c r="V3" s="14" t="s">
        <v>653</v>
      </c>
    </row>
    <row r="4">
      <c r="A4" s="14" t="s">
        <v>655</v>
      </c>
      <c r="B4" s="24">
        <v>46274.0</v>
      </c>
      <c r="C4" s="14" t="s">
        <v>367</v>
      </c>
      <c r="D4" s="14" t="s">
        <v>61</v>
      </c>
      <c r="E4" s="14" t="s">
        <v>658</v>
      </c>
      <c r="F4" s="14" t="s">
        <v>11</v>
      </c>
      <c r="G4" s="14" t="s">
        <v>12</v>
      </c>
      <c r="H4" s="14" t="s">
        <v>13</v>
      </c>
      <c r="I4" s="14">
        <v>100.0</v>
      </c>
      <c r="J4" s="14" t="s">
        <v>14</v>
      </c>
      <c r="K4" s="14">
        <v>20.0</v>
      </c>
      <c r="L4" s="14" t="s">
        <v>627</v>
      </c>
      <c r="M4" s="14" t="s">
        <v>130</v>
      </c>
      <c r="N4" s="14" t="s">
        <v>629</v>
      </c>
      <c r="O4" s="14" t="s">
        <v>631</v>
      </c>
      <c r="P4" s="14">
        <v>12.0</v>
      </c>
      <c r="Q4" s="14">
        <v>12.0</v>
      </c>
      <c r="R4" s="14">
        <v>20.0</v>
      </c>
      <c r="S4" s="14">
        <v>20.0</v>
      </c>
      <c r="T4" s="14" t="s">
        <v>633</v>
      </c>
      <c r="U4" s="14">
        <v>8.0</v>
      </c>
      <c r="V4" s="14" t="s">
        <v>665</v>
      </c>
    </row>
    <row r="5">
      <c r="A5" s="14" t="s">
        <v>668</v>
      </c>
      <c r="B5" s="24">
        <v>46274.0</v>
      </c>
      <c r="C5" s="14" t="s">
        <v>371</v>
      </c>
      <c r="D5" s="14" t="s">
        <v>61</v>
      </c>
      <c r="E5" s="14" t="s">
        <v>672</v>
      </c>
      <c r="F5" s="14" t="s">
        <v>49</v>
      </c>
      <c r="G5" s="14" t="s">
        <v>50</v>
      </c>
      <c r="H5" s="14" t="s">
        <v>13</v>
      </c>
      <c r="I5" s="14">
        <v>100.0</v>
      </c>
      <c r="J5" s="14" t="s">
        <v>14</v>
      </c>
      <c r="K5" s="14">
        <v>18.0</v>
      </c>
      <c r="L5" s="14" t="s">
        <v>627</v>
      </c>
      <c r="M5" s="14" t="s">
        <v>130</v>
      </c>
      <c r="N5" s="14" t="s">
        <v>679</v>
      </c>
      <c r="O5" s="14" t="s">
        <v>681</v>
      </c>
      <c r="P5" s="14">
        <v>16.0</v>
      </c>
      <c r="Q5" s="14">
        <v>16.0</v>
      </c>
      <c r="R5" s="14">
        <v>40.0</v>
      </c>
      <c r="S5" s="14">
        <v>30.0</v>
      </c>
      <c r="T5" s="14" t="s">
        <v>652</v>
      </c>
      <c r="U5" s="14">
        <v>24.0</v>
      </c>
      <c r="V5" s="14" t="s">
        <v>687</v>
      </c>
    </row>
    <row r="6">
      <c r="A6" s="14" t="s">
        <v>688</v>
      </c>
      <c r="B6" s="24">
        <v>46274.0</v>
      </c>
      <c r="C6" s="14" t="s">
        <v>375</v>
      </c>
      <c r="D6" s="14" t="s">
        <v>61</v>
      </c>
      <c r="E6" s="14" t="s">
        <v>690</v>
      </c>
      <c r="F6" s="14" t="s">
        <v>126</v>
      </c>
      <c r="G6" s="14" t="s">
        <v>128</v>
      </c>
      <c r="H6" s="14" t="s">
        <v>13</v>
      </c>
      <c r="I6" s="14">
        <v>30.0</v>
      </c>
      <c r="J6" s="14" t="s">
        <v>14</v>
      </c>
      <c r="K6" s="14">
        <v>30.0</v>
      </c>
      <c r="L6" s="14" t="s">
        <v>627</v>
      </c>
      <c r="M6" s="14" t="s">
        <v>130</v>
      </c>
      <c r="N6" s="14" t="s">
        <v>629</v>
      </c>
      <c r="O6" s="14" t="s">
        <v>631</v>
      </c>
      <c r="P6" s="14">
        <v>30.0</v>
      </c>
      <c r="Q6" s="14">
        <v>30.0</v>
      </c>
      <c r="R6" s="14">
        <v>40.0</v>
      </c>
      <c r="S6" s="14">
        <v>50.0</v>
      </c>
      <c r="T6" s="14" t="s">
        <v>633</v>
      </c>
      <c r="U6" s="14">
        <v>30.0</v>
      </c>
      <c r="V6" s="14" t="s">
        <v>687</v>
      </c>
    </row>
    <row r="7">
      <c r="A7" s="14" t="s">
        <v>685</v>
      </c>
      <c r="B7" s="24">
        <v>46274.0</v>
      </c>
      <c r="C7" s="14" t="s">
        <v>379</v>
      </c>
      <c r="D7" s="14" t="s">
        <v>61</v>
      </c>
      <c r="E7" s="14" t="s">
        <v>683</v>
      </c>
      <c r="F7" s="14" t="s">
        <v>143</v>
      </c>
      <c r="G7" s="14" t="s">
        <v>144</v>
      </c>
      <c r="H7" s="14" t="s">
        <v>13</v>
      </c>
      <c r="I7" s="14">
        <v>50.0</v>
      </c>
      <c r="J7" s="14" t="s">
        <v>383</v>
      </c>
      <c r="K7" s="14">
        <v>15.0</v>
      </c>
      <c r="L7" s="14" t="s">
        <v>627</v>
      </c>
      <c r="M7" s="14" t="s">
        <v>130</v>
      </c>
      <c r="N7" s="14" t="s">
        <v>629</v>
      </c>
      <c r="O7" s="14" t="s">
        <v>631</v>
      </c>
      <c r="P7" s="14">
        <v>18.0</v>
      </c>
      <c r="Q7" s="14">
        <v>18.0</v>
      </c>
      <c r="R7" s="14">
        <v>21.0</v>
      </c>
      <c r="S7" s="14">
        <v>30.0</v>
      </c>
      <c r="T7" s="14" t="s">
        <v>652</v>
      </c>
      <c r="U7" s="14">
        <v>22.0</v>
      </c>
      <c r="V7" s="14" t="s">
        <v>687</v>
      </c>
    </row>
    <row r="8">
      <c r="A8" s="14" t="s">
        <v>702</v>
      </c>
      <c r="B8" s="24">
        <v>46274.0</v>
      </c>
      <c r="C8" s="14" t="s">
        <v>384</v>
      </c>
      <c r="D8" s="14" t="s">
        <v>61</v>
      </c>
      <c r="E8" s="14" t="s">
        <v>704</v>
      </c>
      <c r="F8" s="14" t="s">
        <v>58</v>
      </c>
      <c r="G8" s="14" t="s">
        <v>59</v>
      </c>
      <c r="H8" s="14" t="s">
        <v>13</v>
      </c>
      <c r="I8" s="14">
        <v>40.0</v>
      </c>
      <c r="J8" s="14" t="s">
        <v>14</v>
      </c>
      <c r="K8" s="14">
        <v>32.0</v>
      </c>
      <c r="L8" s="14" t="s">
        <v>627</v>
      </c>
      <c r="M8" s="14" t="s">
        <v>130</v>
      </c>
      <c r="N8" s="14" t="s">
        <v>679</v>
      </c>
      <c r="O8" s="14" t="s">
        <v>681</v>
      </c>
      <c r="P8" s="14">
        <v>32.0</v>
      </c>
      <c r="Q8" s="14">
        <v>32.0</v>
      </c>
      <c r="R8" s="14">
        <v>42.0</v>
      </c>
      <c r="S8" s="14">
        <v>45.0</v>
      </c>
      <c r="T8" s="14" t="s">
        <v>711</v>
      </c>
      <c r="U8" s="14">
        <v>28.0</v>
      </c>
      <c r="V8" s="14" t="s">
        <v>687</v>
      </c>
    </row>
    <row r="9">
      <c r="A9" s="14" t="s">
        <v>715</v>
      </c>
      <c r="B9" s="24">
        <v>46274.0</v>
      </c>
      <c r="C9" s="14" t="s">
        <v>388</v>
      </c>
      <c r="D9" s="14" t="s">
        <v>61</v>
      </c>
      <c r="E9" s="14" t="s">
        <v>718</v>
      </c>
      <c r="F9" s="14" t="s">
        <v>189</v>
      </c>
      <c r="G9" s="14" t="s">
        <v>190</v>
      </c>
      <c r="H9" s="14" t="s">
        <v>13</v>
      </c>
      <c r="I9" s="14">
        <v>70.0</v>
      </c>
      <c r="J9" s="14" t="s">
        <v>14</v>
      </c>
      <c r="K9" s="14">
        <v>25.0</v>
      </c>
      <c r="L9" s="14" t="s">
        <v>627</v>
      </c>
      <c r="M9" s="14" t="s">
        <v>130</v>
      </c>
      <c r="N9" s="14" t="s">
        <v>629</v>
      </c>
      <c r="O9" s="14" t="s">
        <v>631</v>
      </c>
      <c r="P9" s="14">
        <v>26.0</v>
      </c>
      <c r="Q9" s="14">
        <v>26.0</v>
      </c>
      <c r="R9" s="14">
        <v>40.0</v>
      </c>
      <c r="S9" s="14">
        <v>30.0</v>
      </c>
      <c r="T9" s="14" t="s">
        <v>633</v>
      </c>
      <c r="U9" s="14">
        <v>14.0</v>
      </c>
      <c r="V9" s="14" t="s">
        <v>687</v>
      </c>
    </row>
    <row r="10">
      <c r="A10" s="14" t="s">
        <v>729</v>
      </c>
      <c r="B10" s="24">
        <v>46274.0</v>
      </c>
      <c r="C10" s="14" t="s">
        <v>391</v>
      </c>
      <c r="D10" s="14" t="s">
        <v>61</v>
      </c>
      <c r="E10" s="14" t="s">
        <v>732</v>
      </c>
      <c r="F10" s="14" t="s">
        <v>203</v>
      </c>
      <c r="G10" s="14" t="s">
        <v>204</v>
      </c>
      <c r="H10" s="14" t="s">
        <v>13</v>
      </c>
      <c r="I10" s="14">
        <v>40.0</v>
      </c>
      <c r="J10" s="14" t="s">
        <v>14</v>
      </c>
      <c r="K10" s="14">
        <v>15.0</v>
      </c>
      <c r="L10" s="14" t="s">
        <v>627</v>
      </c>
      <c r="M10" s="14" t="s">
        <v>130</v>
      </c>
      <c r="N10" s="14" t="s">
        <v>629</v>
      </c>
      <c r="O10" s="14" t="s">
        <v>681</v>
      </c>
      <c r="P10" s="14">
        <v>18.0</v>
      </c>
      <c r="Q10" s="14">
        <v>18.0</v>
      </c>
      <c r="R10" s="14">
        <v>35.0</v>
      </c>
      <c r="S10" s="14">
        <v>28.0</v>
      </c>
      <c r="T10" s="14" t="s">
        <v>711</v>
      </c>
      <c r="U10" s="14">
        <v>17.0</v>
      </c>
      <c r="V10" s="14" t="s">
        <v>687</v>
      </c>
    </row>
    <row r="11">
      <c r="A11" s="14" t="s">
        <v>667</v>
      </c>
      <c r="B11" s="24">
        <v>46274.0</v>
      </c>
      <c r="C11" s="14" t="s">
        <v>395</v>
      </c>
      <c r="D11" s="14" t="s">
        <v>61</v>
      </c>
      <c r="E11" s="14" t="s">
        <v>664</v>
      </c>
      <c r="F11" s="14" t="s">
        <v>158</v>
      </c>
      <c r="G11" s="14" t="s">
        <v>159</v>
      </c>
      <c r="H11" s="14" t="s">
        <v>13</v>
      </c>
      <c r="I11" s="14">
        <v>80.0</v>
      </c>
      <c r="J11" s="14" t="s">
        <v>14</v>
      </c>
      <c r="K11" s="14">
        <v>16.0</v>
      </c>
      <c r="L11" s="14" t="s">
        <v>627</v>
      </c>
      <c r="M11" s="14" t="s">
        <v>130</v>
      </c>
      <c r="N11" s="14" t="s">
        <v>679</v>
      </c>
      <c r="O11" s="14" t="s">
        <v>681</v>
      </c>
      <c r="P11" s="14">
        <v>18.0</v>
      </c>
      <c r="Q11" s="14">
        <v>17.0</v>
      </c>
      <c r="R11" s="14">
        <v>35.0</v>
      </c>
      <c r="S11" s="14">
        <v>30.0</v>
      </c>
      <c r="T11" s="14" t="s">
        <v>633</v>
      </c>
      <c r="U11" s="14">
        <v>18.0</v>
      </c>
      <c r="V11" s="14" t="s">
        <v>687</v>
      </c>
    </row>
    <row r="12">
      <c r="A12" s="14" t="s">
        <v>752</v>
      </c>
      <c r="B12" s="24">
        <v>46274.0</v>
      </c>
      <c r="C12" s="14" t="s">
        <v>401</v>
      </c>
      <c r="D12" s="14" t="s">
        <v>61</v>
      </c>
      <c r="E12" s="14" t="s">
        <v>756</v>
      </c>
      <c r="F12" s="14" t="s">
        <v>396</v>
      </c>
      <c r="G12" s="14" t="s">
        <v>397</v>
      </c>
      <c r="H12" s="14" t="s">
        <v>362</v>
      </c>
      <c r="I12" s="14">
        <v>10.0</v>
      </c>
      <c r="J12" s="14" t="s">
        <v>14</v>
      </c>
      <c r="K12" s="14">
        <v>25.0</v>
      </c>
      <c r="L12" s="14" t="s">
        <v>627</v>
      </c>
      <c r="M12" s="14" t="s">
        <v>130</v>
      </c>
      <c r="N12" s="14" t="s">
        <v>629</v>
      </c>
      <c r="O12" s="14" t="s">
        <v>681</v>
      </c>
      <c r="P12" s="14">
        <v>28.0</v>
      </c>
      <c r="Q12" s="14">
        <v>26.0</v>
      </c>
      <c r="R12" s="14">
        <v>45.0</v>
      </c>
      <c r="S12" s="14">
        <v>30.0</v>
      </c>
      <c r="T12" s="14" t="s">
        <v>652</v>
      </c>
      <c r="U12" s="14">
        <v>19.0</v>
      </c>
      <c r="V12" s="14" t="s">
        <v>687</v>
      </c>
    </row>
    <row r="13">
      <c r="A13" s="14" t="s">
        <v>764</v>
      </c>
      <c r="B13" s="24">
        <v>46274.0</v>
      </c>
      <c r="C13" s="14" t="s">
        <v>404</v>
      </c>
      <c r="D13" s="14" t="s">
        <v>61</v>
      </c>
      <c r="E13" s="14" t="s">
        <v>767</v>
      </c>
      <c r="F13" s="14" t="s">
        <v>405</v>
      </c>
      <c r="G13" s="14" t="s">
        <v>406</v>
      </c>
      <c r="H13" s="14" t="s">
        <v>362</v>
      </c>
      <c r="I13" s="14">
        <v>70.0</v>
      </c>
      <c r="J13" s="14" t="s">
        <v>214</v>
      </c>
      <c r="K13" s="14">
        <v>30.0</v>
      </c>
      <c r="L13" s="14" t="s">
        <v>627</v>
      </c>
      <c r="M13" s="14" t="s">
        <v>130</v>
      </c>
      <c r="N13" s="14" t="s">
        <v>629</v>
      </c>
      <c r="O13" s="14" t="s">
        <v>648</v>
      </c>
      <c r="P13" s="14">
        <v>15.0</v>
      </c>
      <c r="Q13" s="14">
        <v>15.0</v>
      </c>
      <c r="R13" s="14">
        <v>20.0</v>
      </c>
      <c r="S13" s="14">
        <v>30.0</v>
      </c>
      <c r="T13" s="14" t="s">
        <v>773</v>
      </c>
      <c r="U13" s="14">
        <v>15.0</v>
      </c>
      <c r="V13" s="14" t="s">
        <v>687</v>
      </c>
    </row>
    <row r="14">
      <c r="A14" s="14" t="s">
        <v>775</v>
      </c>
      <c r="B14" s="24">
        <v>46274.0</v>
      </c>
      <c r="C14" s="14" t="s">
        <v>409</v>
      </c>
      <c r="D14" s="14" t="s">
        <v>61</v>
      </c>
      <c r="E14" s="14" t="s">
        <v>776</v>
      </c>
      <c r="F14" s="14" t="s">
        <v>381</v>
      </c>
      <c r="G14" s="14" t="s">
        <v>382</v>
      </c>
      <c r="H14" s="14" t="s">
        <v>362</v>
      </c>
      <c r="I14" s="14">
        <v>100.0</v>
      </c>
      <c r="J14" s="14" t="s">
        <v>214</v>
      </c>
      <c r="K14" s="14">
        <v>2.0</v>
      </c>
      <c r="L14" s="14" t="s">
        <v>627</v>
      </c>
      <c r="M14" s="14" t="s">
        <v>130</v>
      </c>
      <c r="N14" s="14" t="s">
        <v>629</v>
      </c>
      <c r="O14" s="14" t="s">
        <v>681</v>
      </c>
      <c r="P14" s="14">
        <v>3.0</v>
      </c>
      <c r="Q14" s="14">
        <v>3.0</v>
      </c>
      <c r="R14" s="14">
        <v>5.5</v>
      </c>
      <c r="S14" s="14">
        <v>5.0</v>
      </c>
      <c r="T14" s="14" t="s">
        <v>652</v>
      </c>
      <c r="U14" s="14">
        <v>2.5</v>
      </c>
      <c r="V14" s="14" t="s">
        <v>687</v>
      </c>
    </row>
    <row r="15">
      <c r="A15" s="14" t="s">
        <v>781</v>
      </c>
      <c r="B15" s="24">
        <v>46274.0</v>
      </c>
      <c r="C15" s="14" t="s">
        <v>425</v>
      </c>
      <c r="D15" s="14" t="s">
        <v>61</v>
      </c>
      <c r="E15" s="14" t="s">
        <v>783</v>
      </c>
      <c r="F15" s="14" t="s">
        <v>427</v>
      </c>
      <c r="G15" s="14" t="s">
        <v>428</v>
      </c>
      <c r="H15" s="14" t="s">
        <v>430</v>
      </c>
      <c r="I15" s="14">
        <v>100.0</v>
      </c>
      <c r="J15" s="14" t="s">
        <v>185</v>
      </c>
      <c r="K15" s="14">
        <v>4.0</v>
      </c>
      <c r="L15" s="14" t="s">
        <v>627</v>
      </c>
      <c r="M15" s="14" t="s">
        <v>130</v>
      </c>
      <c r="N15" s="14" t="s">
        <v>629</v>
      </c>
      <c r="O15" s="14" t="s">
        <v>787</v>
      </c>
      <c r="P15" s="14">
        <v>4.0</v>
      </c>
      <c r="Q15" s="14">
        <v>4.0</v>
      </c>
      <c r="R15" s="14">
        <v>15.0</v>
      </c>
      <c r="S15" s="14">
        <v>5.0</v>
      </c>
      <c r="T15" s="14" t="s">
        <v>788</v>
      </c>
      <c r="U15" s="14">
        <v>11.0</v>
      </c>
      <c r="V15" s="14" t="s">
        <v>687</v>
      </c>
    </row>
    <row r="16">
      <c r="A16" s="14" t="s">
        <v>790</v>
      </c>
      <c r="B16" s="24">
        <v>46274.0</v>
      </c>
      <c r="C16" s="14" t="s">
        <v>432</v>
      </c>
      <c r="D16" s="14" t="s">
        <v>61</v>
      </c>
      <c r="E16" s="14" t="s">
        <v>792</v>
      </c>
      <c r="F16" s="14" t="s">
        <v>434</v>
      </c>
      <c r="G16" s="14" t="s">
        <v>435</v>
      </c>
      <c r="H16" s="14" t="s">
        <v>430</v>
      </c>
      <c r="I16" s="14">
        <v>100.0</v>
      </c>
      <c r="J16" s="14" t="s">
        <v>185</v>
      </c>
      <c r="K16" s="14">
        <v>1.0</v>
      </c>
      <c r="L16" s="14" t="s">
        <v>627</v>
      </c>
      <c r="M16" s="14" t="s">
        <v>130</v>
      </c>
      <c r="N16" s="14" t="s">
        <v>679</v>
      </c>
      <c r="O16" s="14" t="s">
        <v>648</v>
      </c>
      <c r="P16" s="14">
        <v>2.0</v>
      </c>
      <c r="Q16" s="14">
        <v>1.0</v>
      </c>
      <c r="R16" s="14">
        <v>10.0</v>
      </c>
      <c r="S16" s="14">
        <v>10.0</v>
      </c>
      <c r="T16" s="14" t="s">
        <v>788</v>
      </c>
      <c r="U16" s="14">
        <v>9.0</v>
      </c>
      <c r="V16" s="14" t="s">
        <v>687</v>
      </c>
    </row>
    <row r="17">
      <c r="A17" s="14" t="s">
        <v>798</v>
      </c>
      <c r="B17" s="24">
        <v>46274.0</v>
      </c>
      <c r="C17" s="14" t="s">
        <v>438</v>
      </c>
      <c r="D17" s="14" t="s">
        <v>61</v>
      </c>
      <c r="E17" s="14" t="s">
        <v>803</v>
      </c>
      <c r="F17" s="14" t="s">
        <v>439</v>
      </c>
      <c r="G17" s="14" t="s">
        <v>440</v>
      </c>
      <c r="H17" s="14" t="s">
        <v>430</v>
      </c>
      <c r="I17" s="14">
        <v>100.0</v>
      </c>
      <c r="J17" s="14" t="s">
        <v>185</v>
      </c>
      <c r="K17" s="14">
        <v>1.0</v>
      </c>
      <c r="L17" s="14" t="s">
        <v>627</v>
      </c>
      <c r="M17" s="14" t="s">
        <v>130</v>
      </c>
      <c r="N17" s="14" t="s">
        <v>629</v>
      </c>
      <c r="O17" s="14" t="s">
        <v>807</v>
      </c>
      <c r="P17" s="14">
        <v>1.0</v>
      </c>
      <c r="Q17" s="14">
        <v>1.0</v>
      </c>
      <c r="R17" s="14">
        <v>6.0</v>
      </c>
      <c r="S17" s="14">
        <v>1.0</v>
      </c>
      <c r="T17" s="14" t="s">
        <v>652</v>
      </c>
      <c r="U17" s="14">
        <v>5.0</v>
      </c>
      <c r="V17" s="14" t="s">
        <v>687</v>
      </c>
    </row>
    <row r="18">
      <c r="A18" s="14" t="s">
        <v>810</v>
      </c>
      <c r="B18" s="28">
        <v>46276.0</v>
      </c>
      <c r="C18" s="14" t="s">
        <v>442</v>
      </c>
      <c r="D18" s="14" t="s">
        <v>111</v>
      </c>
      <c r="E18" s="14" t="s">
        <v>814</v>
      </c>
      <c r="F18" s="14" t="s">
        <v>39</v>
      </c>
      <c r="G18" s="14" t="s">
        <v>41</v>
      </c>
      <c r="H18" s="14" t="s">
        <v>13</v>
      </c>
      <c r="I18" s="14">
        <v>30.0</v>
      </c>
      <c r="J18" s="14" t="s">
        <v>14</v>
      </c>
      <c r="K18" s="14">
        <v>30.0</v>
      </c>
      <c r="L18" s="14" t="s">
        <v>627</v>
      </c>
      <c r="M18" s="14" t="s">
        <v>130</v>
      </c>
      <c r="N18" s="14" t="s">
        <v>629</v>
      </c>
      <c r="O18" s="14" t="s">
        <v>631</v>
      </c>
      <c r="P18" s="14">
        <v>20.0</v>
      </c>
      <c r="Q18" s="14">
        <v>20.0</v>
      </c>
      <c r="R18" s="14">
        <v>42.0</v>
      </c>
      <c r="S18" s="14">
        <v>25.0</v>
      </c>
      <c r="T18" s="14" t="s">
        <v>823</v>
      </c>
      <c r="U18" s="14">
        <v>12.0</v>
      </c>
    </row>
    <row r="19">
      <c r="A19" s="14" t="s">
        <v>824</v>
      </c>
      <c r="B19" s="24">
        <v>46276.0</v>
      </c>
      <c r="C19" s="14" t="s">
        <v>449</v>
      </c>
      <c r="D19" s="14" t="s">
        <v>111</v>
      </c>
      <c r="E19" s="14" t="s">
        <v>825</v>
      </c>
      <c r="F19" s="14" t="s">
        <v>312</v>
      </c>
      <c r="G19" s="14" t="s">
        <v>313</v>
      </c>
      <c r="H19" s="14" t="s">
        <v>13</v>
      </c>
      <c r="I19" s="14">
        <v>20.0</v>
      </c>
      <c r="J19" s="14" t="s">
        <v>14</v>
      </c>
      <c r="K19" s="14">
        <v>20.0</v>
      </c>
      <c r="L19" s="14" t="s">
        <v>627</v>
      </c>
      <c r="M19" s="14" t="s">
        <v>130</v>
      </c>
      <c r="N19" s="14" t="s">
        <v>629</v>
      </c>
      <c r="O19" s="14" t="s">
        <v>631</v>
      </c>
      <c r="P19" s="14">
        <v>30.0</v>
      </c>
      <c r="Q19" s="14">
        <v>30.0</v>
      </c>
      <c r="R19" s="14">
        <v>28.0</v>
      </c>
      <c r="S19" s="14">
        <v>36.0</v>
      </c>
      <c r="T19" s="14" t="s">
        <v>633</v>
      </c>
      <c r="U19" s="14">
        <v>15.0</v>
      </c>
    </row>
    <row r="20">
      <c r="A20" s="14" t="s">
        <v>833</v>
      </c>
      <c r="B20" s="24">
        <v>46276.0</v>
      </c>
      <c r="C20" s="14" t="s">
        <v>454</v>
      </c>
      <c r="D20" s="14" t="s">
        <v>111</v>
      </c>
      <c r="E20" s="14" t="s">
        <v>834</v>
      </c>
      <c r="F20" s="14" t="s">
        <v>90</v>
      </c>
      <c r="G20" s="14" t="s">
        <v>93</v>
      </c>
      <c r="H20" s="14" t="s">
        <v>13</v>
      </c>
      <c r="I20" s="14">
        <v>20.0</v>
      </c>
      <c r="J20" s="14" t="s">
        <v>14</v>
      </c>
      <c r="K20" s="14">
        <v>40.0</v>
      </c>
      <c r="L20" s="14" t="s">
        <v>627</v>
      </c>
      <c r="M20" s="14" t="s">
        <v>130</v>
      </c>
      <c r="N20" s="14" t="s">
        <v>679</v>
      </c>
      <c r="O20" s="14" t="s">
        <v>631</v>
      </c>
      <c r="P20" s="14">
        <v>40.0</v>
      </c>
      <c r="Q20" s="14">
        <v>40.0</v>
      </c>
      <c r="R20" s="14">
        <v>55.0</v>
      </c>
      <c r="S20" s="14">
        <v>40.0</v>
      </c>
      <c r="T20" s="14" t="s">
        <v>633</v>
      </c>
      <c r="U20" s="14">
        <v>15.0</v>
      </c>
    </row>
    <row r="21">
      <c r="A21" s="14" t="s">
        <v>839</v>
      </c>
      <c r="B21" s="24">
        <v>46276.0</v>
      </c>
      <c r="C21" s="14" t="s">
        <v>458</v>
      </c>
      <c r="D21" s="14" t="s">
        <v>111</v>
      </c>
      <c r="E21" s="14" t="s">
        <v>841</v>
      </c>
      <c r="F21" s="14" t="s">
        <v>176</v>
      </c>
      <c r="G21" s="14" t="s">
        <v>177</v>
      </c>
      <c r="H21" s="14" t="s">
        <v>13</v>
      </c>
      <c r="I21" s="14">
        <v>10.0</v>
      </c>
      <c r="J21" s="14" t="s">
        <v>370</v>
      </c>
      <c r="K21" s="14">
        <v>40.0</v>
      </c>
      <c r="L21" s="14" t="s">
        <v>627</v>
      </c>
      <c r="M21" s="14" t="s">
        <v>130</v>
      </c>
      <c r="N21" s="14" t="s">
        <v>679</v>
      </c>
      <c r="O21" s="14" t="s">
        <v>787</v>
      </c>
      <c r="P21" s="14">
        <v>40.0</v>
      </c>
      <c r="Q21" s="14">
        <v>40.0</v>
      </c>
      <c r="R21" s="14">
        <v>45.0</v>
      </c>
      <c r="S21" s="14">
        <v>40.0</v>
      </c>
      <c r="T21" s="14" t="s">
        <v>652</v>
      </c>
      <c r="U21" s="14">
        <v>5.0</v>
      </c>
    </row>
    <row r="22">
      <c r="A22" s="14" t="s">
        <v>846</v>
      </c>
      <c r="B22" s="24">
        <v>46276.0</v>
      </c>
      <c r="C22" s="14" t="s">
        <v>461</v>
      </c>
      <c r="D22" s="14" t="s">
        <v>111</v>
      </c>
      <c r="E22" s="14" t="s">
        <v>847</v>
      </c>
      <c r="F22" s="14" t="s">
        <v>462</v>
      </c>
      <c r="G22" s="14" t="s">
        <v>463</v>
      </c>
      <c r="H22" s="14" t="s">
        <v>817</v>
      </c>
      <c r="I22" s="14">
        <v>10.0</v>
      </c>
      <c r="J22" s="14" t="s">
        <v>185</v>
      </c>
      <c r="K22" s="14">
        <v>20.0</v>
      </c>
      <c r="L22" s="14" t="s">
        <v>627</v>
      </c>
      <c r="M22" s="14" t="s">
        <v>130</v>
      </c>
      <c r="N22" s="14" t="s">
        <v>679</v>
      </c>
      <c r="O22" s="14" t="s">
        <v>787</v>
      </c>
      <c r="P22" s="14">
        <v>15.0</v>
      </c>
      <c r="Q22" s="14">
        <v>20.0</v>
      </c>
      <c r="R22" s="14">
        <v>28.0</v>
      </c>
      <c r="S22" s="14">
        <v>20.0</v>
      </c>
      <c r="T22" s="14" t="s">
        <v>652</v>
      </c>
      <c r="U22" s="14">
        <v>8.0</v>
      </c>
    </row>
    <row r="23">
      <c r="A23" s="14" t="s">
        <v>855</v>
      </c>
      <c r="B23" s="24">
        <v>46276.0</v>
      </c>
      <c r="C23" s="14" t="s">
        <v>467</v>
      </c>
      <c r="D23" s="14" t="s">
        <v>111</v>
      </c>
      <c r="E23" s="14" t="s">
        <v>858</v>
      </c>
      <c r="F23" s="14" t="s">
        <v>470</v>
      </c>
      <c r="G23" s="14" t="s">
        <v>471</v>
      </c>
      <c r="H23" s="14" t="s">
        <v>430</v>
      </c>
      <c r="I23" s="14">
        <v>10.0</v>
      </c>
      <c r="J23" s="14" t="s">
        <v>185</v>
      </c>
      <c r="K23" s="14">
        <v>1.0</v>
      </c>
      <c r="L23" s="14" t="s">
        <v>627</v>
      </c>
      <c r="M23" s="14" t="s">
        <v>130</v>
      </c>
      <c r="N23" s="14" t="s">
        <v>679</v>
      </c>
      <c r="O23" s="14" t="s">
        <v>681</v>
      </c>
      <c r="P23" s="14">
        <v>1.0</v>
      </c>
      <c r="Q23" s="14">
        <v>1.0</v>
      </c>
      <c r="R23" s="14">
        <v>6.0</v>
      </c>
      <c r="S23" s="14">
        <v>3.0</v>
      </c>
      <c r="T23" s="14" t="s">
        <v>652</v>
      </c>
      <c r="U23" s="14">
        <v>5.0</v>
      </c>
    </row>
    <row r="24">
      <c r="A24" s="14" t="s">
        <v>854</v>
      </c>
      <c r="B24" s="24">
        <v>46276.0</v>
      </c>
      <c r="C24" s="14" t="s">
        <v>475</v>
      </c>
      <c r="D24" s="14" t="s">
        <v>111</v>
      </c>
      <c r="E24" s="14" t="s">
        <v>852</v>
      </c>
      <c r="F24" s="14" t="s">
        <v>164</v>
      </c>
      <c r="G24" s="14" t="s">
        <v>165</v>
      </c>
      <c r="H24" s="14" t="s">
        <v>13</v>
      </c>
      <c r="I24" s="14">
        <v>10.0</v>
      </c>
      <c r="J24" s="14" t="s">
        <v>214</v>
      </c>
      <c r="K24" s="14">
        <v>30.0</v>
      </c>
      <c r="L24" s="14" t="s">
        <v>627</v>
      </c>
      <c r="M24" s="14" t="s">
        <v>130</v>
      </c>
      <c r="N24" s="14" t="s">
        <v>629</v>
      </c>
      <c r="O24" s="14" t="s">
        <v>631</v>
      </c>
      <c r="P24" s="14">
        <v>30.0</v>
      </c>
      <c r="Q24" s="14">
        <v>30.0</v>
      </c>
      <c r="R24" s="14">
        <v>70.0</v>
      </c>
      <c r="S24" s="14">
        <v>30.0</v>
      </c>
      <c r="T24" s="14" t="s">
        <v>652</v>
      </c>
      <c r="U24" s="14">
        <v>39.0</v>
      </c>
    </row>
    <row r="25">
      <c r="A25" s="14" t="s">
        <v>868</v>
      </c>
      <c r="B25" s="24">
        <v>46276.0</v>
      </c>
      <c r="C25" s="14" t="s">
        <v>480</v>
      </c>
      <c r="D25" s="14" t="s">
        <v>111</v>
      </c>
      <c r="E25" s="14" t="s">
        <v>870</v>
      </c>
      <c r="F25" s="14" t="s">
        <v>481</v>
      </c>
      <c r="G25" s="14" t="s">
        <v>483</v>
      </c>
      <c r="H25" s="14" t="s">
        <v>817</v>
      </c>
      <c r="I25" s="14">
        <v>30.0</v>
      </c>
      <c r="J25" s="14" t="s">
        <v>185</v>
      </c>
      <c r="K25" s="14">
        <v>20.0</v>
      </c>
      <c r="L25" s="14" t="s">
        <v>627</v>
      </c>
      <c r="M25" s="14" t="s">
        <v>130</v>
      </c>
      <c r="N25" s="14" t="s">
        <v>679</v>
      </c>
      <c r="O25" s="14" t="s">
        <v>787</v>
      </c>
      <c r="P25" s="14">
        <v>20.0</v>
      </c>
      <c r="Q25" s="14">
        <v>18.0</v>
      </c>
      <c r="R25" s="14">
        <v>25.0</v>
      </c>
      <c r="S25" s="14">
        <v>20.0</v>
      </c>
      <c r="T25" s="14" t="s">
        <v>652</v>
      </c>
      <c r="U25" s="14">
        <v>7.0</v>
      </c>
    </row>
    <row r="26">
      <c r="A26" s="14" t="s">
        <v>879</v>
      </c>
      <c r="B26" s="24">
        <v>46276.0</v>
      </c>
      <c r="C26" s="14" t="s">
        <v>485</v>
      </c>
      <c r="D26" s="14" t="s">
        <v>111</v>
      </c>
      <c r="E26" s="14" t="s">
        <v>880</v>
      </c>
      <c r="F26" s="14" t="s">
        <v>152</v>
      </c>
      <c r="G26" s="14" t="s">
        <v>153</v>
      </c>
      <c r="H26" s="14" t="s">
        <v>13</v>
      </c>
      <c r="I26" s="14">
        <v>10.0</v>
      </c>
      <c r="J26" s="14" t="s">
        <v>14</v>
      </c>
      <c r="K26" s="14">
        <v>25.0</v>
      </c>
      <c r="L26" s="14" t="s">
        <v>627</v>
      </c>
      <c r="M26" s="14" t="s">
        <v>130</v>
      </c>
      <c r="N26" s="14" t="s">
        <v>679</v>
      </c>
      <c r="O26" s="14" t="s">
        <v>787</v>
      </c>
      <c r="P26" s="14">
        <v>20.0</v>
      </c>
      <c r="Q26" s="14">
        <v>20.0</v>
      </c>
      <c r="R26" s="14">
        <v>43.0</v>
      </c>
      <c r="S26" s="14">
        <v>30.0</v>
      </c>
      <c r="T26" s="14" t="s">
        <v>652</v>
      </c>
      <c r="U26" s="14">
        <v>23.0</v>
      </c>
    </row>
    <row r="27">
      <c r="A27" s="14" t="s">
        <v>885</v>
      </c>
      <c r="B27" s="24">
        <v>46276.0</v>
      </c>
      <c r="C27" s="14" t="s">
        <v>488</v>
      </c>
      <c r="D27" s="14" t="s">
        <v>111</v>
      </c>
      <c r="E27" s="14" t="s">
        <v>888</v>
      </c>
      <c r="F27" s="14" t="s">
        <v>171</v>
      </c>
      <c r="G27" s="14" t="s">
        <v>172</v>
      </c>
      <c r="H27" s="14" t="s">
        <v>13</v>
      </c>
      <c r="I27" s="14">
        <v>10.0</v>
      </c>
      <c r="J27" s="14" t="s">
        <v>214</v>
      </c>
      <c r="K27" s="14">
        <v>50.0</v>
      </c>
      <c r="L27" s="14" t="s">
        <v>627</v>
      </c>
      <c r="M27" s="14" t="s">
        <v>130</v>
      </c>
      <c r="N27" s="14" t="s">
        <v>898</v>
      </c>
      <c r="O27" s="14" t="s">
        <v>787</v>
      </c>
      <c r="P27" s="14">
        <v>50.0</v>
      </c>
      <c r="Q27" s="14">
        <v>45.0</v>
      </c>
      <c r="R27" s="14">
        <v>69.0</v>
      </c>
      <c r="S27" s="14">
        <v>47.0</v>
      </c>
      <c r="T27" s="14" t="s">
        <v>902</v>
      </c>
      <c r="U27" s="14">
        <v>24.0</v>
      </c>
    </row>
    <row r="28">
      <c r="A28" s="14" t="s">
        <v>904</v>
      </c>
      <c r="B28" s="24">
        <v>46276.0</v>
      </c>
      <c r="C28" s="14" t="s">
        <v>492</v>
      </c>
      <c r="D28" s="14" t="s">
        <v>111</v>
      </c>
      <c r="E28" s="14" t="s">
        <v>908</v>
      </c>
      <c r="F28" s="14" t="s">
        <v>494</v>
      </c>
      <c r="G28" s="14" t="s">
        <v>495</v>
      </c>
      <c r="H28" s="14" t="s">
        <v>817</v>
      </c>
      <c r="I28" s="14">
        <v>20.0</v>
      </c>
      <c r="J28" s="14" t="s">
        <v>185</v>
      </c>
      <c r="K28" s="14">
        <v>10.0</v>
      </c>
      <c r="L28" s="14" t="s">
        <v>627</v>
      </c>
      <c r="M28" s="14" t="s">
        <v>130</v>
      </c>
      <c r="N28" s="14" t="s">
        <v>679</v>
      </c>
      <c r="O28" s="14" t="s">
        <v>787</v>
      </c>
      <c r="P28" s="14">
        <v>10.0</v>
      </c>
      <c r="Q28" s="14">
        <v>10.0</v>
      </c>
      <c r="R28" s="14">
        <v>20.0</v>
      </c>
      <c r="S28" s="14">
        <v>15.0</v>
      </c>
      <c r="T28" s="14" t="s">
        <v>652</v>
      </c>
      <c r="U28" s="14">
        <v>10.0</v>
      </c>
    </row>
    <row r="29">
      <c r="A29" s="14" t="s">
        <v>920</v>
      </c>
      <c r="B29" s="24">
        <v>46276.0</v>
      </c>
      <c r="C29" s="14" t="s">
        <v>498</v>
      </c>
      <c r="D29" s="14" t="s">
        <v>111</v>
      </c>
      <c r="E29" s="14" t="s">
        <v>923</v>
      </c>
      <c r="F29" s="14" t="s">
        <v>499</v>
      </c>
      <c r="G29" s="14" t="s">
        <v>501</v>
      </c>
      <c r="H29" s="14" t="s">
        <v>817</v>
      </c>
      <c r="I29" s="14">
        <v>30.0</v>
      </c>
      <c r="J29" s="14" t="s">
        <v>185</v>
      </c>
      <c r="K29" s="14">
        <v>25.0</v>
      </c>
      <c r="L29" s="14" t="s">
        <v>627</v>
      </c>
      <c r="M29" s="14" t="s">
        <v>130</v>
      </c>
      <c r="N29" s="14" t="s">
        <v>629</v>
      </c>
      <c r="O29" s="14" t="s">
        <v>681</v>
      </c>
      <c r="P29" s="14">
        <v>24.0</v>
      </c>
      <c r="Q29" s="14">
        <v>24.0</v>
      </c>
      <c r="R29" s="14">
        <v>40.0</v>
      </c>
      <c r="S29" s="14">
        <v>25.0</v>
      </c>
      <c r="T29" s="14" t="s">
        <v>652</v>
      </c>
      <c r="U29" s="14">
        <v>16.0</v>
      </c>
    </row>
    <row r="30">
      <c r="A30" s="14" t="s">
        <v>911</v>
      </c>
      <c r="B30" s="24">
        <v>46276.0</v>
      </c>
      <c r="C30" s="14" t="s">
        <v>504</v>
      </c>
      <c r="D30" s="14" t="s">
        <v>111</v>
      </c>
      <c r="E30" s="14" t="s">
        <v>909</v>
      </c>
      <c r="F30" s="14" t="s">
        <v>182</v>
      </c>
      <c r="G30" s="14" t="s">
        <v>184</v>
      </c>
      <c r="H30" s="14" t="s">
        <v>13</v>
      </c>
      <c r="I30" s="14">
        <v>10.0</v>
      </c>
      <c r="J30" s="14" t="s">
        <v>185</v>
      </c>
      <c r="K30" s="14">
        <v>20.0</v>
      </c>
      <c r="L30" s="14" t="s">
        <v>627</v>
      </c>
      <c r="M30" s="14" t="s">
        <v>130</v>
      </c>
      <c r="N30" s="14" t="s">
        <v>679</v>
      </c>
      <c r="O30" s="14" t="s">
        <v>787</v>
      </c>
      <c r="P30" s="14">
        <v>20.0</v>
      </c>
      <c r="Q30" s="14">
        <v>20.0</v>
      </c>
      <c r="R30" s="14">
        <v>40.0</v>
      </c>
      <c r="S30" s="14">
        <v>24.0</v>
      </c>
      <c r="T30" s="14" t="s">
        <v>902</v>
      </c>
      <c r="U30" s="14">
        <v>20.0</v>
      </c>
    </row>
    <row r="31">
      <c r="A31" s="14" t="s">
        <v>942</v>
      </c>
      <c r="B31" s="24">
        <v>46276.0</v>
      </c>
      <c r="C31" s="14" t="s">
        <v>724</v>
      </c>
      <c r="D31" s="14" t="s">
        <v>111</v>
      </c>
      <c r="E31" s="14" t="s">
        <v>943</v>
      </c>
      <c r="F31" s="14" t="s">
        <v>726</v>
      </c>
      <c r="G31" s="14" t="s">
        <v>728</v>
      </c>
      <c r="H31" s="14" t="s">
        <v>712</v>
      </c>
      <c r="I31" s="14">
        <v>3.0</v>
      </c>
      <c r="J31" s="14" t="s">
        <v>713</v>
      </c>
      <c r="K31" s="14">
        <v>150.0</v>
      </c>
      <c r="L31" s="14" t="s">
        <v>627</v>
      </c>
      <c r="M31" s="14" t="s">
        <v>130</v>
      </c>
      <c r="N31" s="14" t="s">
        <v>629</v>
      </c>
      <c r="O31" s="14" t="s">
        <v>681</v>
      </c>
      <c r="P31" s="14">
        <v>200.0</v>
      </c>
      <c r="Q31" s="14">
        <v>200.0</v>
      </c>
      <c r="R31" s="14">
        <v>250.0</v>
      </c>
      <c r="S31" s="14">
        <v>150.0</v>
      </c>
      <c r="T31" s="14" t="s">
        <v>652</v>
      </c>
      <c r="U31" s="14">
        <v>250.0</v>
      </c>
    </row>
    <row r="32">
      <c r="A32" s="14" t="s">
        <v>951</v>
      </c>
      <c r="B32" s="24">
        <v>46276.0</v>
      </c>
      <c r="C32" s="14" t="s">
        <v>719</v>
      </c>
      <c r="D32" s="14" t="s">
        <v>111</v>
      </c>
      <c r="E32" s="14" t="s">
        <v>955</v>
      </c>
      <c r="F32" s="14" t="s">
        <v>720</v>
      </c>
      <c r="G32" s="14" t="s">
        <v>722</v>
      </c>
      <c r="H32" s="14" t="s">
        <v>712</v>
      </c>
      <c r="I32" s="14">
        <v>10.0</v>
      </c>
      <c r="J32" s="14" t="s">
        <v>713</v>
      </c>
      <c r="K32" s="14">
        <v>65.0</v>
      </c>
      <c r="L32" s="14" t="s">
        <v>627</v>
      </c>
      <c r="M32" s="14" t="s">
        <v>130</v>
      </c>
      <c r="N32" s="14" t="s">
        <v>679</v>
      </c>
      <c r="O32" s="14" t="s">
        <v>787</v>
      </c>
      <c r="P32" s="14">
        <v>60.0</v>
      </c>
      <c r="Q32" s="14">
        <v>60.0</v>
      </c>
      <c r="R32" s="14">
        <v>80.0</v>
      </c>
      <c r="S32" s="14">
        <v>80.0</v>
      </c>
      <c r="T32" s="14" t="s">
        <v>652</v>
      </c>
      <c r="U32" s="14">
        <v>50.0</v>
      </c>
    </row>
    <row r="33">
      <c r="A33" s="14" t="s">
        <v>965</v>
      </c>
      <c r="B33" s="24">
        <v>46276.0</v>
      </c>
      <c r="C33" s="14" t="s">
        <v>707</v>
      </c>
      <c r="D33" s="14" t="s">
        <v>111</v>
      </c>
      <c r="E33" s="14" t="s">
        <v>968</v>
      </c>
      <c r="F33" s="14" t="s">
        <v>709</v>
      </c>
      <c r="G33" s="14" t="s">
        <v>710</v>
      </c>
      <c r="H33" s="14" t="s">
        <v>712</v>
      </c>
      <c r="I33" s="14">
        <v>5.0</v>
      </c>
      <c r="J33" s="14" t="s">
        <v>713</v>
      </c>
      <c r="K33" s="14">
        <v>45.0</v>
      </c>
      <c r="L33" s="14" t="s">
        <v>627</v>
      </c>
      <c r="M33" s="14" t="s">
        <v>130</v>
      </c>
      <c r="N33" s="14" t="s">
        <v>975</v>
      </c>
      <c r="O33" s="14" t="s">
        <v>787</v>
      </c>
      <c r="P33" s="14">
        <v>45.0</v>
      </c>
      <c r="Q33" s="14">
        <v>45.0</v>
      </c>
      <c r="R33" s="14">
        <v>80.0</v>
      </c>
      <c r="S33" s="14">
        <v>60.0</v>
      </c>
      <c r="T33" s="14" t="s">
        <v>652</v>
      </c>
      <c r="U33" s="14">
        <v>35.0</v>
      </c>
    </row>
    <row r="34">
      <c r="A34" s="14" t="s">
        <v>979</v>
      </c>
      <c r="B34" s="24">
        <v>46276.0</v>
      </c>
      <c r="C34" s="14" t="s">
        <v>703</v>
      </c>
      <c r="D34" s="14" t="s">
        <v>111</v>
      </c>
      <c r="E34" s="14" t="s">
        <v>983</v>
      </c>
      <c r="F34" s="14" t="s">
        <v>389</v>
      </c>
      <c r="G34" s="14" t="s">
        <v>390</v>
      </c>
      <c r="H34" s="14" t="s">
        <v>362</v>
      </c>
      <c r="I34" s="14">
        <v>10.0</v>
      </c>
      <c r="J34" s="14" t="s">
        <v>214</v>
      </c>
      <c r="K34" s="14">
        <v>18.0</v>
      </c>
      <c r="L34" s="14" t="s">
        <v>627</v>
      </c>
      <c r="M34" s="14" t="s">
        <v>130</v>
      </c>
      <c r="N34" s="14" t="s">
        <v>679</v>
      </c>
      <c r="O34" s="14" t="s">
        <v>681</v>
      </c>
      <c r="P34" s="14">
        <v>20.0</v>
      </c>
      <c r="Q34" s="14">
        <v>20.0</v>
      </c>
      <c r="R34" s="14">
        <v>69.0</v>
      </c>
      <c r="S34" s="14">
        <v>40.0</v>
      </c>
      <c r="T34" s="14" t="s">
        <v>711</v>
      </c>
      <c r="U34" s="14">
        <v>49.0</v>
      </c>
    </row>
    <row r="35">
      <c r="A35" s="14" t="s">
        <v>988</v>
      </c>
      <c r="B35" s="24">
        <v>46276.0</v>
      </c>
      <c r="C35" s="14" t="s">
        <v>698</v>
      </c>
      <c r="D35" s="14" t="s">
        <v>111</v>
      </c>
      <c r="E35" s="14" t="s">
        <v>990</v>
      </c>
      <c r="F35" s="14" t="s">
        <v>431</v>
      </c>
      <c r="G35" s="14" t="s">
        <v>433</v>
      </c>
      <c r="H35" s="14" t="s">
        <v>362</v>
      </c>
      <c r="I35" s="14">
        <v>10.0</v>
      </c>
      <c r="J35" s="14" t="s">
        <v>214</v>
      </c>
      <c r="K35" s="14">
        <v>7.0</v>
      </c>
      <c r="L35" s="14" t="s">
        <v>627</v>
      </c>
      <c r="M35" s="14" t="s">
        <v>130</v>
      </c>
      <c r="N35" s="14" t="s">
        <v>679</v>
      </c>
      <c r="O35" s="14" t="s">
        <v>787</v>
      </c>
      <c r="P35" s="14">
        <v>5.0</v>
      </c>
      <c r="Q35" s="14">
        <v>5.0</v>
      </c>
      <c r="R35" s="14">
        <v>10.0</v>
      </c>
      <c r="S35" s="14">
        <v>29.0</v>
      </c>
      <c r="T35" s="14" t="s">
        <v>652</v>
      </c>
      <c r="U35" s="14">
        <v>5.0</v>
      </c>
    </row>
    <row r="36">
      <c r="A36" s="14" t="s">
        <v>996</v>
      </c>
      <c r="B36" s="24">
        <v>46276.0</v>
      </c>
      <c r="C36" s="14" t="s">
        <v>694</v>
      </c>
      <c r="D36" s="14" t="s">
        <v>111</v>
      </c>
      <c r="E36" s="14" t="s">
        <v>998</v>
      </c>
      <c r="F36" s="14" t="s">
        <v>696</v>
      </c>
      <c r="G36" s="14" t="s">
        <v>697</v>
      </c>
      <c r="H36" s="14" t="s">
        <v>430</v>
      </c>
      <c r="I36" s="14">
        <v>10.0</v>
      </c>
      <c r="J36" s="14" t="s">
        <v>185</v>
      </c>
      <c r="K36" s="14">
        <v>1.0</v>
      </c>
      <c r="L36" s="14" t="s">
        <v>627</v>
      </c>
      <c r="M36" s="14" t="s">
        <v>130</v>
      </c>
      <c r="N36" s="14" t="s">
        <v>679</v>
      </c>
      <c r="O36" s="14" t="s">
        <v>787</v>
      </c>
      <c r="P36" s="14">
        <v>1.0</v>
      </c>
      <c r="Q36" s="14">
        <v>1.0</v>
      </c>
      <c r="R36" s="14">
        <v>15.0</v>
      </c>
      <c r="S36" s="14">
        <v>5.0</v>
      </c>
      <c r="T36" s="14" t="s">
        <v>652</v>
      </c>
      <c r="U36" s="14">
        <v>14.0</v>
      </c>
    </row>
    <row r="37">
      <c r="A37" s="14" t="s">
        <v>1004</v>
      </c>
      <c r="B37" s="24">
        <v>46276.0</v>
      </c>
      <c r="C37" s="14" t="s">
        <v>689</v>
      </c>
      <c r="D37" s="14" t="s">
        <v>111</v>
      </c>
      <c r="E37" s="14" t="s">
        <v>1005</v>
      </c>
      <c r="F37" s="14" t="s">
        <v>402</v>
      </c>
      <c r="G37" s="14" t="s">
        <v>403</v>
      </c>
      <c r="H37" s="14" t="s">
        <v>362</v>
      </c>
      <c r="I37" s="14">
        <v>10.0</v>
      </c>
      <c r="J37" s="14" t="s">
        <v>214</v>
      </c>
      <c r="K37" s="14">
        <v>15.0</v>
      </c>
      <c r="L37" s="14" t="s">
        <v>627</v>
      </c>
      <c r="M37" s="14" t="s">
        <v>130</v>
      </c>
      <c r="N37" s="14" t="s">
        <v>679</v>
      </c>
      <c r="O37" s="14" t="s">
        <v>787</v>
      </c>
      <c r="P37" s="14">
        <v>15.0</v>
      </c>
      <c r="Q37" s="14">
        <v>15.0</v>
      </c>
      <c r="R37" s="14">
        <v>24.0</v>
      </c>
      <c r="S37" s="14">
        <v>15.0</v>
      </c>
      <c r="T37" s="14" t="s">
        <v>652</v>
      </c>
      <c r="U37" s="14">
        <v>9.0</v>
      </c>
    </row>
    <row r="38">
      <c r="A38" s="14" t="s">
        <v>1012</v>
      </c>
      <c r="B38" s="24">
        <v>46276.0</v>
      </c>
      <c r="C38" s="14" t="s">
        <v>675</v>
      </c>
      <c r="D38" s="14" t="s">
        <v>111</v>
      </c>
      <c r="E38" s="14" t="s">
        <v>1015</v>
      </c>
      <c r="F38" s="14" t="s">
        <v>680</v>
      </c>
      <c r="G38" s="14" t="s">
        <v>682</v>
      </c>
      <c r="H38" s="14" t="s">
        <v>817</v>
      </c>
      <c r="I38" s="14">
        <v>10.0</v>
      </c>
      <c r="J38" s="14" t="s">
        <v>185</v>
      </c>
      <c r="K38" s="14">
        <v>15.0</v>
      </c>
      <c r="L38" s="14" t="s">
        <v>627</v>
      </c>
      <c r="M38" s="14" t="s">
        <v>130</v>
      </c>
      <c r="N38" s="14" t="s">
        <v>629</v>
      </c>
      <c r="O38" s="14" t="s">
        <v>648</v>
      </c>
      <c r="P38" s="14">
        <v>15.0</v>
      </c>
      <c r="Q38" s="14">
        <v>10.0</v>
      </c>
      <c r="R38" s="14">
        <v>25.0</v>
      </c>
      <c r="S38" s="14">
        <v>20.0</v>
      </c>
      <c r="T38" s="14" t="s">
        <v>652</v>
      </c>
      <c r="U38" s="14">
        <v>15.0</v>
      </c>
    </row>
    <row r="39">
      <c r="A39" s="14" t="s">
        <v>1021</v>
      </c>
      <c r="B39" s="24">
        <v>46276.0</v>
      </c>
      <c r="C39" s="14" t="s">
        <v>663</v>
      </c>
      <c r="D39" s="14" t="s">
        <v>111</v>
      </c>
      <c r="E39" s="14" t="s">
        <v>1022</v>
      </c>
      <c r="F39" s="14" t="s">
        <v>666</v>
      </c>
      <c r="G39" s="14" t="s">
        <v>669</v>
      </c>
      <c r="H39" s="14" t="s">
        <v>817</v>
      </c>
      <c r="I39" s="14">
        <v>10.0</v>
      </c>
      <c r="J39" s="14" t="s">
        <v>185</v>
      </c>
      <c r="K39" s="14">
        <v>15.0</v>
      </c>
      <c r="L39" s="14" t="s">
        <v>627</v>
      </c>
      <c r="M39" s="14" t="s">
        <v>130</v>
      </c>
      <c r="N39" s="14" t="s">
        <v>679</v>
      </c>
      <c r="O39" s="14" t="s">
        <v>681</v>
      </c>
      <c r="P39" s="14">
        <v>15.0</v>
      </c>
      <c r="Q39" s="14">
        <v>12.0</v>
      </c>
      <c r="R39" s="14">
        <v>20.0</v>
      </c>
      <c r="S39" s="14">
        <v>15.0</v>
      </c>
      <c r="T39" s="14" t="s">
        <v>652</v>
      </c>
      <c r="U39" s="14">
        <v>8.0</v>
      </c>
    </row>
    <row r="40">
      <c r="A40" s="14" t="s">
        <v>925</v>
      </c>
      <c r="B40" s="24">
        <v>46276.0</v>
      </c>
      <c r="C40" s="14" t="s">
        <v>657</v>
      </c>
      <c r="D40" s="14" t="s">
        <v>111</v>
      </c>
      <c r="E40" s="14" t="s">
        <v>922</v>
      </c>
      <c r="F40" s="14" t="s">
        <v>207</v>
      </c>
      <c r="G40" s="14" t="s">
        <v>208</v>
      </c>
      <c r="H40" s="14" t="s">
        <v>13</v>
      </c>
      <c r="I40" s="14">
        <v>15.0</v>
      </c>
      <c r="J40" s="14" t="s">
        <v>14</v>
      </c>
      <c r="K40" s="14">
        <v>26.0</v>
      </c>
      <c r="L40" s="14" t="s">
        <v>627</v>
      </c>
      <c r="M40" s="14" t="s">
        <v>130</v>
      </c>
      <c r="N40" s="14" t="s">
        <v>898</v>
      </c>
      <c r="O40" s="14" t="s">
        <v>631</v>
      </c>
      <c r="P40" s="14">
        <v>24.0</v>
      </c>
      <c r="Q40" s="14">
        <v>25.0</v>
      </c>
      <c r="R40" s="14">
        <v>39.0</v>
      </c>
      <c r="S40" s="14">
        <v>25.0</v>
      </c>
      <c r="T40" s="14" t="s">
        <v>902</v>
      </c>
      <c r="U40" s="14">
        <v>14.0</v>
      </c>
    </row>
    <row r="41">
      <c r="A41" s="14" t="s">
        <v>1000</v>
      </c>
      <c r="B41" s="24">
        <v>46276.0</v>
      </c>
      <c r="C41" s="14" t="s">
        <v>646</v>
      </c>
      <c r="D41" s="14" t="s">
        <v>111</v>
      </c>
      <c r="E41" s="14" t="s">
        <v>999</v>
      </c>
      <c r="F41" s="14" t="s">
        <v>330</v>
      </c>
      <c r="G41" s="14" t="s">
        <v>651</v>
      </c>
      <c r="H41" s="14" t="s">
        <v>13</v>
      </c>
      <c r="I41" s="14">
        <v>20.0</v>
      </c>
      <c r="J41" s="14" t="s">
        <v>14</v>
      </c>
      <c r="K41" s="14">
        <v>20.0</v>
      </c>
      <c r="L41" s="14" t="s">
        <v>627</v>
      </c>
      <c r="M41" s="14" t="s">
        <v>130</v>
      </c>
      <c r="N41" s="14" t="s">
        <v>975</v>
      </c>
      <c r="O41" s="14" t="s">
        <v>631</v>
      </c>
      <c r="P41" s="14">
        <v>20.0</v>
      </c>
      <c r="Q41" s="14">
        <v>20.0</v>
      </c>
      <c r="R41" s="14">
        <v>40.0</v>
      </c>
      <c r="S41" s="14">
        <v>24.0</v>
      </c>
      <c r="T41" s="14" t="s">
        <v>711</v>
      </c>
      <c r="U41" s="14">
        <v>20.0</v>
      </c>
    </row>
    <row r="42">
      <c r="A42" s="14" t="s">
        <v>976</v>
      </c>
      <c r="B42" s="24">
        <v>46276.0</v>
      </c>
      <c r="C42" s="14" t="s">
        <v>639</v>
      </c>
      <c r="D42" s="14" t="s">
        <v>111</v>
      </c>
      <c r="E42" s="14" t="s">
        <v>973</v>
      </c>
      <c r="F42" s="14" t="s">
        <v>319</v>
      </c>
      <c r="G42" s="14" t="s">
        <v>642</v>
      </c>
      <c r="H42" s="14" t="s">
        <v>13</v>
      </c>
      <c r="I42" s="14">
        <v>20.0</v>
      </c>
      <c r="J42" s="14" t="s">
        <v>14</v>
      </c>
      <c r="K42" s="14">
        <v>28.0</v>
      </c>
      <c r="L42" s="14" t="s">
        <v>627</v>
      </c>
      <c r="M42" s="14" t="s">
        <v>130</v>
      </c>
      <c r="N42" s="14" t="s">
        <v>679</v>
      </c>
      <c r="O42" s="14" t="s">
        <v>631</v>
      </c>
      <c r="P42" s="14">
        <v>26.0</v>
      </c>
      <c r="Q42" s="14">
        <v>26.0</v>
      </c>
      <c r="R42" s="14">
        <v>55.0</v>
      </c>
      <c r="S42" s="14">
        <v>40.0</v>
      </c>
      <c r="T42" s="14" t="s">
        <v>652</v>
      </c>
      <c r="U42" s="14">
        <v>29.0</v>
      </c>
    </row>
    <row r="43">
      <c r="A43" s="14" t="s">
        <v>1034</v>
      </c>
      <c r="B43" s="24">
        <v>46276.0</v>
      </c>
      <c r="C43" s="14" t="s">
        <v>626</v>
      </c>
      <c r="D43" s="14" t="s">
        <v>111</v>
      </c>
      <c r="E43" s="14" t="s">
        <v>1036</v>
      </c>
      <c r="F43" s="14" t="s">
        <v>628</v>
      </c>
      <c r="G43" s="14" t="s">
        <v>1038</v>
      </c>
      <c r="H43" s="14" t="s">
        <v>430</v>
      </c>
      <c r="I43" s="14">
        <v>10.0</v>
      </c>
      <c r="J43" s="14" t="s">
        <v>185</v>
      </c>
      <c r="K43" s="14">
        <v>1.0</v>
      </c>
      <c r="L43" s="14" t="s">
        <v>627</v>
      </c>
      <c r="M43" s="14" t="s">
        <v>130</v>
      </c>
      <c r="N43" s="14" t="s">
        <v>679</v>
      </c>
      <c r="O43" s="14" t="s">
        <v>787</v>
      </c>
      <c r="P43" s="14">
        <v>1.0</v>
      </c>
      <c r="Q43" s="14">
        <v>1.0</v>
      </c>
      <c r="R43" s="14">
        <v>15.0</v>
      </c>
      <c r="S43" s="14">
        <v>2.0</v>
      </c>
      <c r="T43" s="14" t="s">
        <v>652</v>
      </c>
      <c r="U43" s="14">
        <v>14.0</v>
      </c>
    </row>
    <row r="44">
      <c r="A44" s="14" t="s">
        <v>1040</v>
      </c>
      <c r="B44" s="24">
        <v>46276.0</v>
      </c>
      <c r="C44" s="14" t="s">
        <v>620</v>
      </c>
      <c r="D44" s="14" t="s">
        <v>111</v>
      </c>
      <c r="E44" s="14" t="s">
        <v>1042</v>
      </c>
      <c r="F44" s="14" t="s">
        <v>621</v>
      </c>
      <c r="G44" s="14" t="s">
        <v>624</v>
      </c>
      <c r="H44" s="14" t="s">
        <v>430</v>
      </c>
      <c r="I44" s="14">
        <v>10.0</v>
      </c>
      <c r="J44" s="14" t="s">
        <v>185</v>
      </c>
      <c r="K44" s="14">
        <v>5.0</v>
      </c>
      <c r="L44" s="14" t="s">
        <v>627</v>
      </c>
      <c r="M44" s="14" t="s">
        <v>130</v>
      </c>
      <c r="N44" s="14" t="s">
        <v>629</v>
      </c>
      <c r="O44" s="14" t="s">
        <v>648</v>
      </c>
      <c r="P44" s="14">
        <v>1.0</v>
      </c>
      <c r="Q44" s="14">
        <v>1.0</v>
      </c>
      <c r="R44" s="14">
        <v>9.0</v>
      </c>
      <c r="S44" s="14">
        <v>5.0</v>
      </c>
      <c r="T44" s="14" t="s">
        <v>652</v>
      </c>
      <c r="U44" s="14">
        <v>8.0</v>
      </c>
    </row>
    <row r="45">
      <c r="A45" s="14" t="s">
        <v>1046</v>
      </c>
      <c r="B45" s="24">
        <v>46276.0</v>
      </c>
      <c r="C45" s="14" t="s">
        <v>614</v>
      </c>
      <c r="D45" s="14" t="s">
        <v>111</v>
      </c>
      <c r="E45" s="14" t="s">
        <v>1049</v>
      </c>
      <c r="F45" s="14" t="s">
        <v>616</v>
      </c>
      <c r="G45" s="14" t="s">
        <v>618</v>
      </c>
      <c r="H45" s="14" t="s">
        <v>430</v>
      </c>
      <c r="I45" s="14">
        <v>10.0</v>
      </c>
      <c r="J45" s="14" t="s">
        <v>185</v>
      </c>
      <c r="K45" s="14">
        <v>10.0</v>
      </c>
      <c r="L45" s="14" t="s">
        <v>627</v>
      </c>
      <c r="M45" s="14" t="s">
        <v>130</v>
      </c>
      <c r="N45" s="14" t="s">
        <v>975</v>
      </c>
      <c r="O45" s="14" t="s">
        <v>648</v>
      </c>
      <c r="P45" s="14">
        <v>5.0</v>
      </c>
      <c r="Q45" s="14">
        <v>9.0</v>
      </c>
      <c r="R45" s="14">
        <v>25.0</v>
      </c>
      <c r="S45" s="14">
        <v>5.0</v>
      </c>
      <c r="T45" s="14" t="s">
        <v>633</v>
      </c>
      <c r="U45" s="14">
        <v>16.0</v>
      </c>
    </row>
    <row r="46">
      <c r="A46" s="14" t="s">
        <v>1055</v>
      </c>
      <c r="B46" s="24">
        <v>46276.0</v>
      </c>
      <c r="C46" s="14" t="s">
        <v>608</v>
      </c>
      <c r="D46" s="14" t="s">
        <v>111</v>
      </c>
      <c r="E46" s="14" t="s">
        <v>1056</v>
      </c>
      <c r="F46" s="14" t="s">
        <v>611</v>
      </c>
      <c r="G46" s="14" t="s">
        <v>613</v>
      </c>
      <c r="H46" s="14" t="s">
        <v>430</v>
      </c>
      <c r="I46" s="14">
        <v>10.0</v>
      </c>
      <c r="J46" s="14" t="s">
        <v>185</v>
      </c>
      <c r="K46" s="14">
        <v>10.0</v>
      </c>
      <c r="L46" s="14" t="s">
        <v>627</v>
      </c>
      <c r="M46" s="14" t="s">
        <v>130</v>
      </c>
      <c r="N46" s="14" t="s">
        <v>975</v>
      </c>
      <c r="O46" s="14" t="s">
        <v>648</v>
      </c>
      <c r="P46" s="14">
        <v>5.0</v>
      </c>
      <c r="Q46" s="14">
        <v>6.0</v>
      </c>
      <c r="R46" s="14">
        <v>15.0</v>
      </c>
      <c r="S46" s="14">
        <v>6.0</v>
      </c>
      <c r="T46" s="14" t="s">
        <v>711</v>
      </c>
      <c r="U46" s="14">
        <v>9.0</v>
      </c>
    </row>
    <row r="47">
      <c r="A47" s="14" t="s">
        <v>1058</v>
      </c>
      <c r="B47" s="24">
        <v>46276.0</v>
      </c>
      <c r="C47" s="14" t="s">
        <v>602</v>
      </c>
      <c r="D47" s="14" t="s">
        <v>111</v>
      </c>
      <c r="E47" s="14" t="s">
        <v>1059</v>
      </c>
      <c r="F47" s="14" t="s">
        <v>604</v>
      </c>
      <c r="G47" s="14" t="s">
        <v>606</v>
      </c>
      <c r="H47" s="14" t="s">
        <v>430</v>
      </c>
      <c r="I47" s="14">
        <v>10.0</v>
      </c>
      <c r="J47" s="14" t="s">
        <v>185</v>
      </c>
      <c r="K47" s="14">
        <v>1.0</v>
      </c>
      <c r="L47" s="14" t="s">
        <v>627</v>
      </c>
      <c r="M47" s="14" t="s">
        <v>130</v>
      </c>
      <c r="N47" s="14" t="s">
        <v>679</v>
      </c>
      <c r="O47" s="14" t="s">
        <v>1063</v>
      </c>
      <c r="P47" s="14">
        <v>1.0</v>
      </c>
      <c r="Q47" s="14">
        <v>1.0</v>
      </c>
      <c r="R47" s="14">
        <v>6.0</v>
      </c>
      <c r="S47" s="14">
        <v>1.0</v>
      </c>
      <c r="T47" s="14" t="s">
        <v>711</v>
      </c>
      <c r="U47" s="14">
        <v>5.0</v>
      </c>
    </row>
    <row r="48">
      <c r="A48" s="14" t="s">
        <v>1064</v>
      </c>
      <c r="B48" s="24">
        <v>46276.0</v>
      </c>
      <c r="C48" s="14" t="s">
        <v>594</v>
      </c>
      <c r="D48" s="14" t="s">
        <v>111</v>
      </c>
      <c r="E48" s="14" t="s">
        <v>1066</v>
      </c>
      <c r="F48" s="14" t="s">
        <v>596</v>
      </c>
      <c r="G48" s="14" t="s">
        <v>597</v>
      </c>
      <c r="H48" s="14" t="s">
        <v>430</v>
      </c>
      <c r="I48" s="14">
        <v>10.0</v>
      </c>
      <c r="J48" s="14" t="s">
        <v>185</v>
      </c>
      <c r="K48" s="14">
        <v>1.0</v>
      </c>
      <c r="L48" s="14" t="s">
        <v>627</v>
      </c>
      <c r="M48" s="14" t="s">
        <v>130</v>
      </c>
      <c r="N48" s="14" t="s">
        <v>975</v>
      </c>
      <c r="O48" s="14" t="s">
        <v>631</v>
      </c>
      <c r="P48" s="14">
        <v>1.0</v>
      </c>
      <c r="Q48" s="14">
        <v>1.0</v>
      </c>
      <c r="R48" s="14">
        <v>6.0</v>
      </c>
      <c r="S48" s="14">
        <v>1.0</v>
      </c>
      <c r="T48" s="14" t="s">
        <v>1069</v>
      </c>
      <c r="U48" s="14">
        <v>5.0</v>
      </c>
    </row>
    <row r="49">
      <c r="A49" s="14" t="s">
        <v>1073</v>
      </c>
      <c r="B49" s="24">
        <v>46276.0</v>
      </c>
      <c r="C49" s="14" t="s">
        <v>586</v>
      </c>
      <c r="D49" s="14" t="s">
        <v>111</v>
      </c>
      <c r="E49" s="14" t="s">
        <v>1075</v>
      </c>
      <c r="F49" s="14" t="s">
        <v>587</v>
      </c>
      <c r="G49" s="14" t="s">
        <v>589</v>
      </c>
      <c r="H49" s="14" t="s">
        <v>430</v>
      </c>
      <c r="I49" s="14">
        <v>10.0</v>
      </c>
      <c r="J49" s="14" t="s">
        <v>185</v>
      </c>
      <c r="K49" s="14">
        <v>1.0</v>
      </c>
      <c r="L49" s="14" t="s">
        <v>627</v>
      </c>
      <c r="M49" s="14" t="s">
        <v>130</v>
      </c>
      <c r="N49" s="14" t="s">
        <v>679</v>
      </c>
      <c r="O49" s="14" t="s">
        <v>787</v>
      </c>
      <c r="P49" s="14">
        <v>1.0</v>
      </c>
      <c r="Q49" s="14">
        <v>1.0</v>
      </c>
      <c r="R49" s="14">
        <v>6.0</v>
      </c>
      <c r="S49" s="14">
        <v>1.0</v>
      </c>
      <c r="T49" s="14" t="s">
        <v>788</v>
      </c>
      <c r="U49" s="14">
        <v>5.0</v>
      </c>
    </row>
    <row r="50">
      <c r="A50" s="14" t="s">
        <v>1080</v>
      </c>
      <c r="B50" s="24">
        <v>46276.0</v>
      </c>
      <c r="C50" s="14" t="s">
        <v>580</v>
      </c>
      <c r="D50" s="14" t="s">
        <v>111</v>
      </c>
      <c r="E50" s="14" t="s">
        <v>1082</v>
      </c>
      <c r="F50" s="14" t="s">
        <v>581</v>
      </c>
      <c r="G50" s="14" t="s">
        <v>582</v>
      </c>
      <c r="H50" s="14" t="s">
        <v>430</v>
      </c>
      <c r="I50" s="14">
        <v>10.0</v>
      </c>
      <c r="J50" s="14" t="s">
        <v>185</v>
      </c>
      <c r="K50" s="14">
        <v>1.0</v>
      </c>
      <c r="L50" s="14" t="s">
        <v>627</v>
      </c>
      <c r="M50" s="14" t="s">
        <v>130</v>
      </c>
      <c r="N50" s="14" t="s">
        <v>975</v>
      </c>
      <c r="O50" s="14" t="s">
        <v>787</v>
      </c>
      <c r="P50" s="14">
        <v>1.0</v>
      </c>
      <c r="Q50" s="14">
        <v>1.0</v>
      </c>
      <c r="R50" s="14">
        <v>6.0</v>
      </c>
      <c r="S50" s="14">
        <v>1.0</v>
      </c>
      <c r="T50" s="14" t="s">
        <v>652</v>
      </c>
      <c r="U50" s="14">
        <v>5.0</v>
      </c>
    </row>
    <row r="51">
      <c r="A51" s="14" t="s">
        <v>1086</v>
      </c>
      <c r="B51" s="24">
        <v>46276.0</v>
      </c>
      <c r="C51" s="14" t="s">
        <v>572</v>
      </c>
      <c r="D51" s="14" t="s">
        <v>111</v>
      </c>
      <c r="E51" s="14" t="s">
        <v>1088</v>
      </c>
      <c r="F51" s="14" t="s">
        <v>574</v>
      </c>
      <c r="G51" s="14" t="s">
        <v>575</v>
      </c>
      <c r="H51" s="14" t="s">
        <v>430</v>
      </c>
      <c r="I51" s="14">
        <v>10.0</v>
      </c>
      <c r="J51" s="14" t="s">
        <v>185</v>
      </c>
      <c r="K51" s="14">
        <v>1.0</v>
      </c>
      <c r="L51" s="14" t="s">
        <v>627</v>
      </c>
      <c r="M51" s="14" t="s">
        <v>130</v>
      </c>
      <c r="N51" s="14" t="s">
        <v>629</v>
      </c>
      <c r="O51" s="14" t="s">
        <v>681</v>
      </c>
      <c r="P51" s="14">
        <v>1.0</v>
      </c>
      <c r="Q51" s="14">
        <v>1.0</v>
      </c>
      <c r="R51" s="14">
        <v>20.0</v>
      </c>
      <c r="S51" s="14">
        <v>1.0</v>
      </c>
      <c r="T51" s="14" t="s">
        <v>652</v>
      </c>
      <c r="U51" s="14">
        <v>19.0</v>
      </c>
    </row>
    <row r="52">
      <c r="A52" s="14" t="s">
        <v>1093</v>
      </c>
      <c r="B52" s="24">
        <v>46276.0</v>
      </c>
      <c r="C52" s="14" t="s">
        <v>566</v>
      </c>
      <c r="D52" s="14" t="s">
        <v>111</v>
      </c>
      <c r="E52" s="14" t="s">
        <v>1096</v>
      </c>
      <c r="F52" s="14" t="s">
        <v>567</v>
      </c>
      <c r="G52" s="14" t="s">
        <v>568</v>
      </c>
      <c r="H52" s="14" t="s">
        <v>430</v>
      </c>
      <c r="I52" s="14">
        <v>10.0</v>
      </c>
      <c r="J52" s="14" t="s">
        <v>185</v>
      </c>
      <c r="K52" s="14">
        <v>1.0</v>
      </c>
      <c r="L52" s="14" t="s">
        <v>627</v>
      </c>
      <c r="M52" s="14" t="s">
        <v>130</v>
      </c>
      <c r="N52" s="14" t="s">
        <v>975</v>
      </c>
      <c r="O52" s="14" t="s">
        <v>631</v>
      </c>
      <c r="P52" s="14">
        <v>1.0</v>
      </c>
      <c r="Q52" s="14">
        <v>1.0</v>
      </c>
      <c r="R52" s="14">
        <v>6.0</v>
      </c>
      <c r="S52" s="14">
        <v>1.0</v>
      </c>
      <c r="U52" s="14">
        <v>5.0</v>
      </c>
    </row>
    <row r="53">
      <c r="A53" s="14" t="s">
        <v>1098</v>
      </c>
      <c r="B53" s="24">
        <v>46276.0</v>
      </c>
      <c r="C53" s="14" t="s">
        <v>560</v>
      </c>
      <c r="D53" s="14" t="s">
        <v>111</v>
      </c>
      <c r="E53" s="14" t="s">
        <v>1101</v>
      </c>
      <c r="F53" s="14" t="s">
        <v>561</v>
      </c>
      <c r="G53" s="14" t="s">
        <v>563</v>
      </c>
      <c r="H53" s="14" t="s">
        <v>430</v>
      </c>
      <c r="I53" s="14">
        <v>10.0</v>
      </c>
      <c r="J53" s="14" t="s">
        <v>185</v>
      </c>
      <c r="K53" s="14">
        <v>1.0</v>
      </c>
      <c r="L53" s="14" t="s">
        <v>627</v>
      </c>
      <c r="M53" s="14" t="s">
        <v>130</v>
      </c>
      <c r="N53" s="14" t="s">
        <v>629</v>
      </c>
      <c r="O53" s="14" t="s">
        <v>787</v>
      </c>
      <c r="P53" s="14">
        <v>1.0</v>
      </c>
      <c r="Q53" s="14">
        <v>1.0</v>
      </c>
      <c r="R53" s="14">
        <v>7.0</v>
      </c>
      <c r="S53" s="14">
        <v>1.0</v>
      </c>
      <c r="T53" s="14" t="s">
        <v>1069</v>
      </c>
      <c r="U53" s="14">
        <v>6.0</v>
      </c>
    </row>
    <row r="54">
      <c r="A54" s="14" t="s">
        <v>1081</v>
      </c>
      <c r="B54" s="24">
        <v>46276.0</v>
      </c>
      <c r="C54" s="14" t="s">
        <v>554</v>
      </c>
      <c r="D54" s="14" t="s">
        <v>111</v>
      </c>
      <c r="E54" s="14" t="s">
        <v>1078</v>
      </c>
      <c r="F54" s="14" t="s">
        <v>556</v>
      </c>
      <c r="G54" s="14" t="s">
        <v>557</v>
      </c>
      <c r="H54" s="14" t="s">
        <v>430</v>
      </c>
      <c r="I54" s="14">
        <v>10.0</v>
      </c>
      <c r="J54" s="14" t="s">
        <v>185</v>
      </c>
      <c r="K54" s="14">
        <v>1.0</v>
      </c>
      <c r="L54" s="14" t="s">
        <v>627</v>
      </c>
      <c r="M54" s="14" t="s">
        <v>130</v>
      </c>
      <c r="N54" s="14" t="s">
        <v>679</v>
      </c>
      <c r="O54" s="14" t="s">
        <v>787</v>
      </c>
      <c r="P54" s="14">
        <v>1.0</v>
      </c>
      <c r="Q54" s="14">
        <v>1.0</v>
      </c>
      <c r="R54" s="14">
        <v>7.0</v>
      </c>
      <c r="S54" s="14">
        <v>1.0</v>
      </c>
      <c r="T54" s="14" t="s">
        <v>711</v>
      </c>
      <c r="U54" s="14">
        <v>6.0</v>
      </c>
    </row>
    <row r="55">
      <c r="A55" s="14" t="s">
        <v>1054</v>
      </c>
      <c r="B55" s="24">
        <v>46276.0</v>
      </c>
      <c r="C55" s="14" t="s">
        <v>548</v>
      </c>
      <c r="D55" s="14" t="s">
        <v>111</v>
      </c>
      <c r="E55" s="14" t="s">
        <v>1052</v>
      </c>
      <c r="F55" s="14" t="s">
        <v>549</v>
      </c>
      <c r="G55" s="14" t="s">
        <v>550</v>
      </c>
      <c r="H55" s="14" t="s">
        <v>430</v>
      </c>
      <c r="I55" s="14">
        <v>10.0</v>
      </c>
      <c r="J55" s="14" t="s">
        <v>185</v>
      </c>
      <c r="K55" s="14">
        <v>1.0</v>
      </c>
      <c r="L55" s="14" t="s">
        <v>627</v>
      </c>
      <c r="M55" s="14" t="s">
        <v>130</v>
      </c>
      <c r="N55" s="14" t="s">
        <v>679</v>
      </c>
      <c r="O55" s="14" t="s">
        <v>787</v>
      </c>
      <c r="P55" s="14">
        <v>1.0</v>
      </c>
      <c r="Q55" s="14">
        <v>1.0</v>
      </c>
      <c r="R55" s="14">
        <v>6.0</v>
      </c>
      <c r="S55" s="14">
        <v>1.0</v>
      </c>
      <c r="T55" s="14" t="s">
        <v>788</v>
      </c>
      <c r="U55" s="14">
        <v>5.0</v>
      </c>
    </row>
    <row r="56">
      <c r="A56" s="14" t="s">
        <v>1115</v>
      </c>
      <c r="B56" s="24">
        <v>46276.0</v>
      </c>
      <c r="C56" s="14" t="s">
        <v>542</v>
      </c>
      <c r="D56" s="14" t="s">
        <v>111</v>
      </c>
      <c r="E56" s="14" t="s">
        <v>1116</v>
      </c>
      <c r="F56" s="14" t="s">
        <v>543</v>
      </c>
      <c r="G56" s="14" t="s">
        <v>544</v>
      </c>
      <c r="H56" s="14" t="s">
        <v>430</v>
      </c>
      <c r="I56" s="14">
        <v>10.0</v>
      </c>
      <c r="J56" s="14" t="s">
        <v>185</v>
      </c>
      <c r="K56" s="14">
        <v>1.0</v>
      </c>
      <c r="L56" s="14" t="s">
        <v>627</v>
      </c>
      <c r="M56" s="14" t="s">
        <v>130</v>
      </c>
      <c r="N56" s="14" t="s">
        <v>679</v>
      </c>
      <c r="O56" s="14" t="s">
        <v>1063</v>
      </c>
      <c r="P56" s="14">
        <v>1.0</v>
      </c>
      <c r="Q56" s="14">
        <v>1.0</v>
      </c>
      <c r="R56" s="14">
        <v>10.0</v>
      </c>
      <c r="S56" s="14">
        <v>1.0</v>
      </c>
      <c r="T56" s="14" t="s">
        <v>652</v>
      </c>
      <c r="U56" s="14">
        <v>9.0</v>
      </c>
    </row>
    <row r="57">
      <c r="A57" s="14" t="s">
        <v>1074</v>
      </c>
      <c r="B57" s="24">
        <v>46276.0</v>
      </c>
      <c r="C57" s="14" t="s">
        <v>536</v>
      </c>
      <c r="D57" s="14" t="s">
        <v>111</v>
      </c>
      <c r="E57" s="14" t="s">
        <v>1072</v>
      </c>
      <c r="F57" s="14" t="s">
        <v>538</v>
      </c>
      <c r="G57" s="14" t="s">
        <v>539</v>
      </c>
      <c r="H57" s="14" t="s">
        <v>430</v>
      </c>
      <c r="I57" s="14">
        <v>10.0</v>
      </c>
      <c r="J57" s="14" t="s">
        <v>185</v>
      </c>
      <c r="K57" s="14">
        <v>1.0</v>
      </c>
      <c r="L57" s="14" t="s">
        <v>627</v>
      </c>
      <c r="M57" s="14" t="s">
        <v>130</v>
      </c>
      <c r="N57" s="14" t="s">
        <v>679</v>
      </c>
      <c r="O57" s="14" t="s">
        <v>681</v>
      </c>
      <c r="P57" s="14">
        <v>1.0</v>
      </c>
      <c r="Q57" s="14">
        <v>1.0</v>
      </c>
      <c r="R57" s="14">
        <v>19.0</v>
      </c>
      <c r="S57" s="14">
        <v>1.0</v>
      </c>
      <c r="T57" s="14" t="s">
        <v>902</v>
      </c>
      <c r="U57" s="14">
        <v>18.0</v>
      </c>
    </row>
    <row r="58">
      <c r="A58" s="14" t="s">
        <v>1062</v>
      </c>
      <c r="B58" s="24">
        <v>46276.0</v>
      </c>
      <c r="C58" s="14" t="s">
        <v>530</v>
      </c>
      <c r="D58" s="14" t="s">
        <v>111</v>
      </c>
      <c r="E58" s="14" t="s">
        <v>1061</v>
      </c>
      <c r="F58" s="14" t="s">
        <v>531</v>
      </c>
      <c r="G58" s="14" t="s">
        <v>533</v>
      </c>
      <c r="H58" s="14" t="s">
        <v>430</v>
      </c>
      <c r="I58" s="14">
        <v>10.0</v>
      </c>
      <c r="J58" s="14" t="s">
        <v>185</v>
      </c>
      <c r="K58" s="14">
        <v>1.0</v>
      </c>
      <c r="L58" s="14" t="s">
        <v>627</v>
      </c>
      <c r="M58" s="14" t="s">
        <v>130</v>
      </c>
      <c r="N58" s="14" t="s">
        <v>629</v>
      </c>
      <c r="O58" s="14" t="s">
        <v>681</v>
      </c>
      <c r="P58" s="14">
        <v>1.0</v>
      </c>
      <c r="Q58" s="14">
        <v>1.0</v>
      </c>
      <c r="R58" s="14">
        <v>10.0</v>
      </c>
      <c r="S58" s="14">
        <v>1.0</v>
      </c>
      <c r="T58" s="14" t="s">
        <v>1069</v>
      </c>
      <c r="U58" s="14">
        <v>9.0</v>
      </c>
    </row>
    <row r="59">
      <c r="A59" s="14" t="s">
        <v>875</v>
      </c>
      <c r="B59" s="24">
        <v>46276.0</v>
      </c>
      <c r="C59" s="14" t="s">
        <v>526</v>
      </c>
      <c r="D59" s="14" t="s">
        <v>111</v>
      </c>
      <c r="E59" s="14" t="s">
        <v>874</v>
      </c>
      <c r="F59" s="14" t="s">
        <v>219</v>
      </c>
      <c r="G59" s="14" t="s">
        <v>221</v>
      </c>
      <c r="H59" s="14" t="s">
        <v>13</v>
      </c>
      <c r="I59" s="14">
        <v>20.0</v>
      </c>
      <c r="J59" s="14" t="s">
        <v>14</v>
      </c>
      <c r="K59" s="14">
        <v>25.0</v>
      </c>
      <c r="L59" s="14" t="s">
        <v>627</v>
      </c>
      <c r="M59" s="14" t="s">
        <v>130</v>
      </c>
      <c r="N59" s="14" t="s">
        <v>975</v>
      </c>
      <c r="O59" s="14" t="s">
        <v>787</v>
      </c>
      <c r="P59" s="14">
        <v>25.0</v>
      </c>
      <c r="Q59" s="14">
        <v>24.0</v>
      </c>
      <c r="R59" s="14">
        <v>45.0</v>
      </c>
      <c r="S59" s="14">
        <v>10.0</v>
      </c>
      <c r="T59" s="14" t="s">
        <v>788</v>
      </c>
      <c r="U59" s="14">
        <v>21.0</v>
      </c>
    </row>
    <row r="60">
      <c r="A60" s="14" t="s">
        <v>884</v>
      </c>
      <c r="B60" s="24">
        <v>46276.0</v>
      </c>
      <c r="C60" s="14" t="s">
        <v>523</v>
      </c>
      <c r="D60" s="14" t="s">
        <v>111</v>
      </c>
      <c r="E60" s="14" t="s">
        <v>883</v>
      </c>
      <c r="F60" s="14" t="s">
        <v>212</v>
      </c>
      <c r="G60" s="14" t="s">
        <v>213</v>
      </c>
      <c r="H60" s="14" t="s">
        <v>13</v>
      </c>
      <c r="I60" s="14">
        <v>20.0</v>
      </c>
      <c r="J60" s="14" t="s">
        <v>14</v>
      </c>
      <c r="K60" s="14">
        <v>29.0</v>
      </c>
      <c r="L60" s="14" t="s">
        <v>627</v>
      </c>
      <c r="M60" s="14" t="s">
        <v>130</v>
      </c>
      <c r="N60" s="14" t="s">
        <v>679</v>
      </c>
      <c r="O60" s="14" t="s">
        <v>681</v>
      </c>
      <c r="P60" s="14">
        <v>25.0</v>
      </c>
      <c r="Q60" s="14">
        <v>25.0</v>
      </c>
      <c r="R60" s="14">
        <v>40.0</v>
      </c>
      <c r="S60" s="14">
        <v>25.0</v>
      </c>
      <c r="T60" s="14" t="s">
        <v>652</v>
      </c>
      <c r="U60" s="14">
        <v>15.0</v>
      </c>
    </row>
    <row r="61">
      <c r="A61" s="14" t="s">
        <v>896</v>
      </c>
      <c r="B61" s="24">
        <v>46276.0</v>
      </c>
      <c r="C61" s="14" t="s">
        <v>519</v>
      </c>
      <c r="D61" s="14" t="s">
        <v>111</v>
      </c>
      <c r="E61" s="14" t="s">
        <v>894</v>
      </c>
      <c r="F61" s="14" t="s">
        <v>112</v>
      </c>
      <c r="G61" s="14" t="s">
        <v>114</v>
      </c>
      <c r="H61" s="14" t="s">
        <v>13</v>
      </c>
      <c r="I61" s="14">
        <v>20.0</v>
      </c>
      <c r="J61" s="14" t="s">
        <v>14</v>
      </c>
      <c r="K61" s="14">
        <v>30.0</v>
      </c>
      <c r="L61" s="14" t="s">
        <v>627</v>
      </c>
      <c r="M61" s="14" t="s">
        <v>130</v>
      </c>
      <c r="N61" s="14" t="s">
        <v>975</v>
      </c>
      <c r="O61" s="14" t="s">
        <v>1063</v>
      </c>
      <c r="P61" s="14">
        <v>30.0</v>
      </c>
      <c r="Q61" s="14">
        <v>30.0</v>
      </c>
      <c r="R61" s="14">
        <v>51.0</v>
      </c>
      <c r="S61" s="14">
        <v>38.0</v>
      </c>
      <c r="T61" s="14" t="s">
        <v>902</v>
      </c>
      <c r="U61" s="14">
        <v>21.0</v>
      </c>
    </row>
    <row r="62">
      <c r="A62" s="14" t="s">
        <v>1014</v>
      </c>
      <c r="B62" s="24">
        <v>46276.0</v>
      </c>
      <c r="C62" s="14" t="s">
        <v>514</v>
      </c>
      <c r="D62" s="14" t="s">
        <v>111</v>
      </c>
      <c r="E62" s="14" t="s">
        <v>1011</v>
      </c>
      <c r="F62" s="14" t="s">
        <v>516</v>
      </c>
      <c r="G62" s="14" t="s">
        <v>518</v>
      </c>
      <c r="H62" s="14" t="s">
        <v>817</v>
      </c>
      <c r="I62" s="14">
        <v>20.0</v>
      </c>
      <c r="J62" s="14" t="s">
        <v>185</v>
      </c>
      <c r="K62" s="14">
        <v>20.0</v>
      </c>
      <c r="L62" s="14" t="s">
        <v>627</v>
      </c>
      <c r="M62" s="14" t="s">
        <v>130</v>
      </c>
      <c r="N62" s="14" t="s">
        <v>975</v>
      </c>
      <c r="O62" s="14" t="s">
        <v>681</v>
      </c>
      <c r="P62" s="14">
        <v>20.0</v>
      </c>
      <c r="Q62" s="14">
        <v>20.0</v>
      </c>
      <c r="R62" s="14">
        <v>20.0</v>
      </c>
      <c r="S62" s="14">
        <v>20.0</v>
      </c>
      <c r="T62" s="14" t="s">
        <v>652</v>
      </c>
      <c r="U62" s="14">
        <v>0.0</v>
      </c>
    </row>
    <row r="63">
      <c r="A63" s="14" t="s">
        <v>1020</v>
      </c>
      <c r="B63" s="24">
        <v>46276.0</v>
      </c>
      <c r="C63" s="14" t="s">
        <v>508</v>
      </c>
      <c r="D63" s="14" t="s">
        <v>111</v>
      </c>
      <c r="E63" s="14" t="s">
        <v>1019</v>
      </c>
      <c r="F63" s="14" t="s">
        <v>510</v>
      </c>
      <c r="G63" s="14" t="s">
        <v>511</v>
      </c>
      <c r="H63" s="14" t="s">
        <v>817</v>
      </c>
      <c r="I63" s="14">
        <v>10.0</v>
      </c>
      <c r="J63" s="14" t="s">
        <v>185</v>
      </c>
      <c r="K63" s="14">
        <v>10.0</v>
      </c>
      <c r="L63" s="14" t="s">
        <v>627</v>
      </c>
      <c r="M63" s="14" t="s">
        <v>130</v>
      </c>
      <c r="N63" s="14" t="s">
        <v>975</v>
      </c>
      <c r="O63" s="14" t="s">
        <v>631</v>
      </c>
      <c r="P63" s="14">
        <v>10.0</v>
      </c>
      <c r="Q63" s="14">
        <v>10.0</v>
      </c>
      <c r="R63" s="14">
        <v>12.0</v>
      </c>
      <c r="S63" s="14">
        <v>10.0</v>
      </c>
      <c r="T63" s="14" t="s">
        <v>902</v>
      </c>
      <c r="U63" s="14">
        <v>2.0</v>
      </c>
    </row>
    <row r="64">
      <c r="A64" s="14" t="s">
        <v>1154</v>
      </c>
      <c r="B64" s="24">
        <v>46277.0</v>
      </c>
      <c r="C64" s="14" t="s">
        <v>734</v>
      </c>
      <c r="D64" s="14" t="s">
        <v>132</v>
      </c>
      <c r="E64" s="14" t="s">
        <v>1159</v>
      </c>
      <c r="F64" s="14" t="s">
        <v>736</v>
      </c>
      <c r="G64" s="14" t="s">
        <v>737</v>
      </c>
      <c r="H64" s="14" t="s">
        <v>430</v>
      </c>
      <c r="I64" s="14">
        <v>10.0</v>
      </c>
      <c r="J64" s="14" t="s">
        <v>185</v>
      </c>
      <c r="K64" s="14">
        <v>1.0</v>
      </c>
      <c r="L64" s="30" t="s">
        <v>627</v>
      </c>
      <c r="M64" s="14" t="s">
        <v>130</v>
      </c>
      <c r="N64" s="14" t="s">
        <v>629</v>
      </c>
      <c r="O64" s="14" t="s">
        <v>787</v>
      </c>
      <c r="P64" s="14">
        <v>1.0</v>
      </c>
      <c r="Q64" s="14">
        <v>1.0</v>
      </c>
      <c r="R64" s="14">
        <v>25.0</v>
      </c>
      <c r="S64" s="14">
        <v>10.0</v>
      </c>
      <c r="T64" s="14" t="s">
        <v>652</v>
      </c>
      <c r="U64" s="14">
        <v>24.0</v>
      </c>
    </row>
    <row r="65">
      <c r="A65" s="14" t="s">
        <v>1165</v>
      </c>
      <c r="B65" s="24">
        <v>46277.0</v>
      </c>
      <c r="C65" s="14" t="s">
        <v>740</v>
      </c>
      <c r="D65" s="14" t="s">
        <v>132</v>
      </c>
      <c r="E65" s="14" t="s">
        <v>1173</v>
      </c>
      <c r="F65" s="14" t="s">
        <v>741</v>
      </c>
      <c r="G65" s="14" t="s">
        <v>742</v>
      </c>
      <c r="H65" s="14" t="s">
        <v>430</v>
      </c>
      <c r="I65" s="14">
        <v>10.0</v>
      </c>
      <c r="J65" s="14" t="s">
        <v>185</v>
      </c>
      <c r="K65" s="14">
        <v>10.0</v>
      </c>
      <c r="L65" s="14" t="s">
        <v>627</v>
      </c>
      <c r="M65" s="14" t="s">
        <v>130</v>
      </c>
      <c r="N65" s="14" t="s">
        <v>679</v>
      </c>
      <c r="O65" s="14" t="s">
        <v>787</v>
      </c>
      <c r="P65" s="14">
        <v>20.0</v>
      </c>
      <c r="Q65" s="14">
        <v>20.0</v>
      </c>
      <c r="R65" s="14">
        <v>80.0</v>
      </c>
      <c r="S65" s="14">
        <v>10.0</v>
      </c>
      <c r="T65" s="14" t="s">
        <v>652</v>
      </c>
      <c r="U65" s="14">
        <v>60.0</v>
      </c>
    </row>
    <row r="66">
      <c r="A66" s="14" t="s">
        <v>1179</v>
      </c>
      <c r="B66" s="24">
        <v>46277.0</v>
      </c>
      <c r="C66" s="14" t="s">
        <v>746</v>
      </c>
      <c r="D66" s="14" t="s">
        <v>132</v>
      </c>
      <c r="E66" s="14" t="s">
        <v>1181</v>
      </c>
      <c r="F66" s="14" t="s">
        <v>747</v>
      </c>
      <c r="G66" s="14" t="s">
        <v>748</v>
      </c>
      <c r="H66" s="14" t="s">
        <v>430</v>
      </c>
      <c r="I66" s="14">
        <v>10.0</v>
      </c>
      <c r="J66" s="14" t="s">
        <v>185</v>
      </c>
      <c r="K66" s="14">
        <v>1.0</v>
      </c>
      <c r="L66" s="14" t="s">
        <v>627</v>
      </c>
      <c r="M66" s="14" t="s">
        <v>130</v>
      </c>
      <c r="N66" s="14" t="s">
        <v>629</v>
      </c>
      <c r="O66" s="14" t="s">
        <v>787</v>
      </c>
      <c r="P66" s="14">
        <v>1.0</v>
      </c>
      <c r="Q66" s="14">
        <v>1.0</v>
      </c>
      <c r="R66" s="14">
        <v>20.0</v>
      </c>
      <c r="S66" s="14">
        <v>1.0</v>
      </c>
      <c r="T66" s="14" t="s">
        <v>652</v>
      </c>
      <c r="U66" s="14">
        <v>19.0</v>
      </c>
    </row>
    <row r="67">
      <c r="A67" s="14" t="s">
        <v>1185</v>
      </c>
      <c r="B67" s="24">
        <v>46277.0</v>
      </c>
      <c r="C67" s="14" t="s">
        <v>754</v>
      </c>
      <c r="D67" s="14" t="s">
        <v>132</v>
      </c>
      <c r="E67" s="14" t="s">
        <v>1183</v>
      </c>
      <c r="F67" s="14" t="s">
        <v>725</v>
      </c>
      <c r="G67" s="14" t="s">
        <v>727</v>
      </c>
      <c r="H67" s="14" t="s">
        <v>416</v>
      </c>
      <c r="I67" s="14">
        <v>2.0</v>
      </c>
      <c r="J67" s="14" t="s">
        <v>14</v>
      </c>
      <c r="K67" s="14">
        <v>300.0</v>
      </c>
      <c r="L67" s="14" t="s">
        <v>627</v>
      </c>
      <c r="M67" s="14" t="s">
        <v>130</v>
      </c>
      <c r="N67" s="14" t="s">
        <v>679</v>
      </c>
      <c r="O67" s="14" t="s">
        <v>787</v>
      </c>
      <c r="P67" s="14">
        <v>300.0</v>
      </c>
      <c r="Q67" s="14">
        <v>300.0</v>
      </c>
      <c r="R67" s="14">
        <v>650.0</v>
      </c>
      <c r="S67" s="14">
        <v>400.0</v>
      </c>
      <c r="T67" s="14" t="s">
        <v>711</v>
      </c>
      <c r="U67" s="14">
        <v>350.0</v>
      </c>
    </row>
    <row r="68">
      <c r="A68" s="14" t="s">
        <v>1150</v>
      </c>
      <c r="B68" s="24">
        <v>46277.0</v>
      </c>
      <c r="C68" s="14" t="s">
        <v>759</v>
      </c>
      <c r="D68" s="14" t="s">
        <v>132</v>
      </c>
      <c r="E68" s="14" t="s">
        <v>1149</v>
      </c>
      <c r="F68" s="14" t="s">
        <v>106</v>
      </c>
      <c r="G68" s="14" t="s">
        <v>107</v>
      </c>
      <c r="H68" s="14" t="s">
        <v>13</v>
      </c>
      <c r="I68" s="14">
        <v>10.0</v>
      </c>
      <c r="J68" s="14" t="s">
        <v>14</v>
      </c>
      <c r="K68" s="14">
        <v>50.0</v>
      </c>
      <c r="L68" s="14" t="s">
        <v>627</v>
      </c>
      <c r="M68" s="14" t="s">
        <v>130</v>
      </c>
      <c r="N68" s="14" t="s">
        <v>679</v>
      </c>
      <c r="O68" s="14" t="s">
        <v>787</v>
      </c>
      <c r="P68" s="14">
        <v>50.0</v>
      </c>
      <c r="Q68" s="14">
        <v>50.0</v>
      </c>
      <c r="R68" s="14">
        <v>79.0</v>
      </c>
      <c r="S68" s="14">
        <v>50.0</v>
      </c>
      <c r="T68" s="14" t="s">
        <v>711</v>
      </c>
      <c r="U68" s="14">
        <v>29.0</v>
      </c>
    </row>
    <row r="69">
      <c r="A69" s="14" t="s">
        <v>1164</v>
      </c>
      <c r="B69" s="24">
        <v>46277.0</v>
      </c>
      <c r="C69" s="14" t="s">
        <v>766</v>
      </c>
      <c r="D69" s="14" t="s">
        <v>132</v>
      </c>
      <c r="E69" s="14" t="s">
        <v>1163</v>
      </c>
      <c r="F69" s="14" t="s">
        <v>229</v>
      </c>
      <c r="G69" s="14" t="s">
        <v>230</v>
      </c>
      <c r="H69" s="14" t="s">
        <v>13</v>
      </c>
      <c r="I69" s="14">
        <v>5.0</v>
      </c>
      <c r="J69" s="14" t="s">
        <v>14</v>
      </c>
      <c r="K69" s="14">
        <v>40.0</v>
      </c>
      <c r="L69" s="14" t="s">
        <v>627</v>
      </c>
      <c r="M69" s="14" t="s">
        <v>130</v>
      </c>
      <c r="N69" s="14" t="s">
        <v>975</v>
      </c>
      <c r="O69" s="14" t="s">
        <v>787</v>
      </c>
      <c r="P69" s="14">
        <v>40.0</v>
      </c>
      <c r="Q69" s="14">
        <v>40.0</v>
      </c>
      <c r="R69" s="14">
        <v>69.0</v>
      </c>
      <c r="S69" s="14">
        <v>40.0</v>
      </c>
      <c r="T69" s="14" t="s">
        <v>711</v>
      </c>
      <c r="U69" s="14">
        <v>29.0</v>
      </c>
    </row>
    <row r="70">
      <c r="A70" s="14" t="s">
        <v>1197</v>
      </c>
      <c r="B70" s="24">
        <v>46277.0</v>
      </c>
      <c r="C70" s="14" t="s">
        <v>785</v>
      </c>
      <c r="D70" s="14" t="s">
        <v>132</v>
      </c>
      <c r="E70" s="14" t="s">
        <v>1195</v>
      </c>
      <c r="F70" s="14" t="s">
        <v>423</v>
      </c>
      <c r="G70" s="14" t="s">
        <v>424</v>
      </c>
      <c r="H70" s="14" t="s">
        <v>416</v>
      </c>
      <c r="I70" s="14">
        <v>10.0</v>
      </c>
      <c r="J70" s="14" t="s">
        <v>370</v>
      </c>
      <c r="K70" s="14">
        <v>10.0</v>
      </c>
      <c r="L70" s="14" t="s">
        <v>627</v>
      </c>
      <c r="M70" s="14" t="s">
        <v>130</v>
      </c>
      <c r="N70" s="14" t="s">
        <v>629</v>
      </c>
      <c r="O70" s="14" t="s">
        <v>681</v>
      </c>
      <c r="P70" s="14">
        <v>10.0</v>
      </c>
      <c r="Q70" s="14">
        <v>10.0</v>
      </c>
      <c r="R70" s="14">
        <v>20.0</v>
      </c>
      <c r="S70" s="14">
        <v>10.0</v>
      </c>
      <c r="T70" s="14" t="s">
        <v>711</v>
      </c>
      <c r="U70" s="14">
        <v>10.0</v>
      </c>
    </row>
    <row r="71">
      <c r="A71" s="14" t="s">
        <v>1171</v>
      </c>
      <c r="B71" s="24">
        <v>46277.0</v>
      </c>
      <c r="C71" s="14" t="s">
        <v>794</v>
      </c>
      <c r="D71" s="14" t="s">
        <v>132</v>
      </c>
      <c r="E71" s="14" t="s">
        <v>1169</v>
      </c>
      <c r="F71" s="14" t="s">
        <v>368</v>
      </c>
      <c r="G71" s="14" t="s">
        <v>369</v>
      </c>
      <c r="H71" s="14" t="s">
        <v>362</v>
      </c>
      <c r="I71" s="14">
        <v>10.0</v>
      </c>
      <c r="J71" s="14" t="s">
        <v>370</v>
      </c>
      <c r="K71" s="14">
        <v>50.0</v>
      </c>
      <c r="L71" s="14" t="s">
        <v>627</v>
      </c>
      <c r="M71" s="14" t="s">
        <v>130</v>
      </c>
      <c r="N71" s="14" t="s">
        <v>679</v>
      </c>
      <c r="O71" s="14" t="s">
        <v>787</v>
      </c>
      <c r="P71" s="14">
        <v>50.0</v>
      </c>
      <c r="Q71" s="14">
        <v>50.0</v>
      </c>
      <c r="R71" s="14">
        <v>99.0</v>
      </c>
      <c r="S71" s="14">
        <v>60.0</v>
      </c>
      <c r="T71" s="14" t="s">
        <v>711</v>
      </c>
      <c r="U71" s="14">
        <v>49.0</v>
      </c>
    </row>
    <row r="72">
      <c r="A72" s="14" t="s">
        <v>1206</v>
      </c>
      <c r="B72" s="24">
        <v>46277.0</v>
      </c>
      <c r="C72" s="14" t="s">
        <v>797</v>
      </c>
      <c r="D72" s="14" t="s">
        <v>132</v>
      </c>
      <c r="E72" s="14" t="s">
        <v>1205</v>
      </c>
      <c r="F72" s="14" t="s">
        <v>799</v>
      </c>
      <c r="G72" s="14" t="s">
        <v>800</v>
      </c>
      <c r="H72" s="14" t="s">
        <v>430</v>
      </c>
      <c r="I72" s="14">
        <v>30.0</v>
      </c>
      <c r="J72" s="14" t="s">
        <v>214</v>
      </c>
      <c r="K72" s="14">
        <v>10.0</v>
      </c>
      <c r="L72" s="14" t="s">
        <v>627</v>
      </c>
      <c r="M72" s="14" t="s">
        <v>130</v>
      </c>
      <c r="N72" s="14" t="s">
        <v>629</v>
      </c>
      <c r="O72" s="14" t="s">
        <v>681</v>
      </c>
      <c r="P72" s="14">
        <v>3.0</v>
      </c>
      <c r="Q72" s="14">
        <v>3.0</v>
      </c>
      <c r="R72" s="14">
        <v>10.0</v>
      </c>
      <c r="S72" s="14">
        <v>3.0</v>
      </c>
      <c r="T72" s="14" t="s">
        <v>711</v>
      </c>
      <c r="U72" s="14">
        <v>7.0</v>
      </c>
    </row>
    <row r="73">
      <c r="A73" s="14" t="s">
        <v>1158</v>
      </c>
      <c r="B73" s="24">
        <v>46277.0</v>
      </c>
      <c r="C73" s="14" t="s">
        <v>804</v>
      </c>
      <c r="D73" s="14" t="s">
        <v>132</v>
      </c>
      <c r="E73" s="14" t="s">
        <v>1156</v>
      </c>
      <c r="F73" s="14" t="s">
        <v>288</v>
      </c>
      <c r="G73" s="14" t="s">
        <v>289</v>
      </c>
      <c r="H73" s="14" t="s">
        <v>13</v>
      </c>
      <c r="I73" s="14">
        <v>5.0</v>
      </c>
      <c r="J73" s="14" t="s">
        <v>14</v>
      </c>
      <c r="K73" s="14">
        <v>60.0</v>
      </c>
      <c r="L73" s="14" t="s">
        <v>627</v>
      </c>
      <c r="M73" s="14" t="s">
        <v>130</v>
      </c>
      <c r="N73" s="14" t="s">
        <v>975</v>
      </c>
      <c r="O73" s="14" t="s">
        <v>787</v>
      </c>
      <c r="P73" s="14">
        <v>60.0</v>
      </c>
      <c r="Q73" s="14">
        <v>70.0</v>
      </c>
      <c r="R73" s="14">
        <v>130.0</v>
      </c>
      <c r="S73" s="14">
        <v>120.0</v>
      </c>
      <c r="T73" s="14" t="s">
        <v>633</v>
      </c>
      <c r="U73" s="14">
        <v>159.0</v>
      </c>
    </row>
    <row r="74">
      <c r="A74" s="14" t="s">
        <v>1177</v>
      </c>
      <c r="B74" s="24">
        <v>46277.0</v>
      </c>
      <c r="C74" s="14" t="s">
        <v>809</v>
      </c>
      <c r="D74" s="14" t="s">
        <v>132</v>
      </c>
      <c r="E74" s="14" t="s">
        <v>1176</v>
      </c>
      <c r="F74" s="14" t="s">
        <v>376</v>
      </c>
      <c r="G74" s="14" t="s">
        <v>377</v>
      </c>
      <c r="H74" s="14" t="s">
        <v>362</v>
      </c>
      <c r="I74" s="14">
        <v>100.0</v>
      </c>
      <c r="J74" s="14" t="s">
        <v>214</v>
      </c>
      <c r="K74" s="14">
        <v>30.0</v>
      </c>
      <c r="L74" s="14" t="s">
        <v>627</v>
      </c>
      <c r="M74" s="14" t="s">
        <v>130</v>
      </c>
      <c r="N74" s="14" t="s">
        <v>679</v>
      </c>
      <c r="O74" s="14" t="s">
        <v>787</v>
      </c>
      <c r="P74" s="14">
        <v>30.0</v>
      </c>
      <c r="Q74" s="14">
        <v>30.0</v>
      </c>
      <c r="R74" s="14">
        <v>49.0</v>
      </c>
      <c r="S74" s="14">
        <v>30.0</v>
      </c>
      <c r="T74" s="14" t="s">
        <v>711</v>
      </c>
      <c r="U74" s="14">
        <v>19.0</v>
      </c>
    </row>
    <row r="75">
      <c r="A75" s="14" t="s">
        <v>1218</v>
      </c>
      <c r="B75" s="24">
        <v>46277.0</v>
      </c>
      <c r="C75" s="14" t="s">
        <v>813</v>
      </c>
      <c r="D75" s="14" t="s">
        <v>132</v>
      </c>
      <c r="E75" s="14" t="s">
        <v>1217</v>
      </c>
      <c r="F75" s="14" t="s">
        <v>815</v>
      </c>
      <c r="G75" s="14" t="s">
        <v>816</v>
      </c>
      <c r="H75" s="14" t="s">
        <v>430</v>
      </c>
      <c r="I75" s="14">
        <v>10.0</v>
      </c>
      <c r="J75" s="14" t="s">
        <v>185</v>
      </c>
      <c r="K75" s="14">
        <v>60.0</v>
      </c>
      <c r="L75" s="14" t="s">
        <v>627</v>
      </c>
      <c r="M75" s="14" t="s">
        <v>130</v>
      </c>
      <c r="N75" s="14" t="s">
        <v>629</v>
      </c>
      <c r="O75" s="14" t="s">
        <v>787</v>
      </c>
      <c r="P75" s="14">
        <v>60.0</v>
      </c>
      <c r="Q75" s="14">
        <v>30.0</v>
      </c>
      <c r="R75" s="14">
        <v>45.0</v>
      </c>
      <c r="S75" s="14">
        <v>30.0</v>
      </c>
      <c r="T75" s="14" t="s">
        <v>711</v>
      </c>
      <c r="U75" s="14">
        <v>15.0</v>
      </c>
    </row>
    <row r="76">
      <c r="A76" s="14" t="s">
        <v>1190</v>
      </c>
      <c r="B76" s="24">
        <v>46277.0</v>
      </c>
      <c r="C76" s="14" t="s">
        <v>820</v>
      </c>
      <c r="D76" s="14" t="s">
        <v>132</v>
      </c>
      <c r="E76" s="14" t="s">
        <v>1189</v>
      </c>
      <c r="F76" s="14" t="s">
        <v>757</v>
      </c>
      <c r="G76" s="14" t="s">
        <v>758</v>
      </c>
      <c r="H76" s="14" t="s">
        <v>416</v>
      </c>
      <c r="I76" s="14">
        <v>10.0</v>
      </c>
      <c r="J76" s="14" t="s">
        <v>185</v>
      </c>
      <c r="K76" s="14">
        <v>10.0</v>
      </c>
      <c r="L76" s="14" t="s">
        <v>627</v>
      </c>
      <c r="M76" s="14" t="s">
        <v>130</v>
      </c>
      <c r="N76" s="14" t="s">
        <v>629</v>
      </c>
      <c r="O76" s="14" t="s">
        <v>631</v>
      </c>
      <c r="P76" s="14">
        <v>10.0</v>
      </c>
      <c r="Q76" s="14">
        <v>10.0</v>
      </c>
      <c r="R76" s="14">
        <v>29.0</v>
      </c>
      <c r="S76" s="14">
        <v>10.0</v>
      </c>
      <c r="T76" s="14" t="s">
        <v>633</v>
      </c>
      <c r="U76" s="14">
        <v>19.0</v>
      </c>
    </row>
    <row r="77">
      <c r="A77" s="14" t="s">
        <v>1238</v>
      </c>
      <c r="B77" s="24">
        <v>46277.0</v>
      </c>
      <c r="C77" s="14" t="s">
        <v>832</v>
      </c>
      <c r="D77" s="14" t="s">
        <v>132</v>
      </c>
      <c r="E77" s="14" t="s">
        <v>1236</v>
      </c>
      <c r="F77" s="14" t="s">
        <v>793</v>
      </c>
      <c r="G77" s="14" t="s">
        <v>795</v>
      </c>
      <c r="H77" s="14" t="s">
        <v>416</v>
      </c>
      <c r="I77" s="14">
        <v>50.0</v>
      </c>
      <c r="J77" s="14" t="s">
        <v>14</v>
      </c>
      <c r="K77" s="14">
        <v>30.0</v>
      </c>
      <c r="L77" s="14" t="s">
        <v>627</v>
      </c>
      <c r="M77" s="14" t="s">
        <v>130</v>
      </c>
      <c r="N77" s="14" t="s">
        <v>679</v>
      </c>
      <c r="O77" s="14" t="s">
        <v>681</v>
      </c>
      <c r="P77" s="14">
        <v>30.0</v>
      </c>
      <c r="Q77" s="14">
        <v>30.0</v>
      </c>
      <c r="R77" s="14">
        <v>80.0</v>
      </c>
      <c r="S77" s="14">
        <v>30.0</v>
      </c>
      <c r="T77" s="14" t="s">
        <v>652</v>
      </c>
      <c r="U77" s="14">
        <v>15.0</v>
      </c>
    </row>
    <row r="78">
      <c r="A78" s="14" t="s">
        <v>1233</v>
      </c>
      <c r="B78" s="24">
        <v>46277.0</v>
      </c>
      <c r="C78" s="14" t="s">
        <v>826</v>
      </c>
      <c r="D78" s="14" t="s">
        <v>132</v>
      </c>
      <c r="E78" s="14" t="s">
        <v>1231</v>
      </c>
      <c r="F78" s="14" t="s">
        <v>684</v>
      </c>
      <c r="G78" s="14" t="s">
        <v>686</v>
      </c>
      <c r="H78" s="14" t="s">
        <v>416</v>
      </c>
      <c r="I78" s="14">
        <v>50.0</v>
      </c>
      <c r="J78" s="14" t="s">
        <v>14</v>
      </c>
      <c r="K78" s="14">
        <v>32.0</v>
      </c>
      <c r="L78" s="14" t="s">
        <v>627</v>
      </c>
      <c r="M78" s="14" t="s">
        <v>130</v>
      </c>
      <c r="N78" s="14" t="s">
        <v>629</v>
      </c>
      <c r="O78" s="14" t="s">
        <v>631</v>
      </c>
      <c r="P78" s="14">
        <v>32.0</v>
      </c>
      <c r="Q78" s="14">
        <v>32.0</v>
      </c>
      <c r="R78" s="14">
        <v>80.0</v>
      </c>
      <c r="S78" s="14">
        <v>35.0</v>
      </c>
      <c r="T78" s="14" t="s">
        <v>711</v>
      </c>
      <c r="U78" s="14">
        <v>13.0</v>
      </c>
    </row>
    <row r="79">
      <c r="A79" s="14" t="s">
        <v>1243</v>
      </c>
      <c r="B79" s="24">
        <v>46277.0</v>
      </c>
      <c r="C79" s="14" t="s">
        <v>835</v>
      </c>
      <c r="D79" s="14" t="s">
        <v>132</v>
      </c>
      <c r="E79" s="14" t="s">
        <v>1242</v>
      </c>
      <c r="F79" s="14" t="s">
        <v>249</v>
      </c>
      <c r="G79" s="14" t="s">
        <v>251</v>
      </c>
      <c r="H79" s="14" t="s">
        <v>13</v>
      </c>
      <c r="I79" s="14">
        <v>30.0</v>
      </c>
      <c r="J79" s="14" t="s">
        <v>14</v>
      </c>
      <c r="K79" s="14">
        <v>35.0</v>
      </c>
      <c r="L79" s="14" t="s">
        <v>627</v>
      </c>
      <c r="M79" s="14" t="s">
        <v>130</v>
      </c>
      <c r="N79" s="14" t="s">
        <v>679</v>
      </c>
      <c r="O79" s="14" t="s">
        <v>787</v>
      </c>
      <c r="P79" s="14">
        <v>35.0</v>
      </c>
      <c r="Q79" s="14">
        <v>35.0</v>
      </c>
      <c r="R79" s="14">
        <v>50.0</v>
      </c>
      <c r="S79" s="14">
        <v>40.0</v>
      </c>
      <c r="T79" s="14" t="s">
        <v>711</v>
      </c>
      <c r="U79" s="14">
        <v>15.0</v>
      </c>
    </row>
    <row r="80">
      <c r="A80" s="14" t="s">
        <v>1248</v>
      </c>
      <c r="B80" s="24">
        <v>46277.0</v>
      </c>
      <c r="C80" s="14" t="s">
        <v>840</v>
      </c>
      <c r="D80" s="14" t="s">
        <v>132</v>
      </c>
      <c r="E80" s="14" t="s">
        <v>1247</v>
      </c>
      <c r="F80" s="14" t="s">
        <v>73</v>
      </c>
      <c r="G80" s="14" t="s">
        <v>74</v>
      </c>
      <c r="H80" s="14" t="s">
        <v>13</v>
      </c>
      <c r="I80" s="14">
        <v>40.0</v>
      </c>
      <c r="J80" s="14" t="s">
        <v>14</v>
      </c>
      <c r="K80" s="14">
        <v>20.0</v>
      </c>
      <c r="L80" s="14" t="s">
        <v>627</v>
      </c>
      <c r="M80" s="14" t="s">
        <v>130</v>
      </c>
      <c r="N80" s="14" t="s">
        <v>975</v>
      </c>
      <c r="O80" s="14" t="s">
        <v>631</v>
      </c>
      <c r="P80" s="14">
        <v>25.0</v>
      </c>
      <c r="Q80" s="14">
        <v>25.0</v>
      </c>
      <c r="R80" s="14">
        <v>36.0</v>
      </c>
      <c r="S80" s="14">
        <v>25.0</v>
      </c>
      <c r="T80" s="14" t="s">
        <v>711</v>
      </c>
      <c r="U80" s="14">
        <v>11.0</v>
      </c>
    </row>
    <row r="81">
      <c r="A81" s="14" t="s">
        <v>1253</v>
      </c>
      <c r="B81" s="24">
        <v>46279.0</v>
      </c>
      <c r="C81" s="14" t="s">
        <v>845</v>
      </c>
      <c r="D81" s="14" t="s">
        <v>132</v>
      </c>
      <c r="E81" s="14" t="s">
        <v>1251</v>
      </c>
      <c r="F81" s="14" t="s">
        <v>714</v>
      </c>
      <c r="G81" s="14" t="s">
        <v>716</v>
      </c>
      <c r="H81" s="14" t="s">
        <v>416</v>
      </c>
      <c r="I81" s="14">
        <v>5.0</v>
      </c>
      <c r="J81" s="14" t="s">
        <v>14</v>
      </c>
      <c r="K81" s="14">
        <v>300.0</v>
      </c>
      <c r="L81" s="14" t="s">
        <v>627</v>
      </c>
      <c r="M81" s="14" t="s">
        <v>130</v>
      </c>
      <c r="N81" s="14" t="s">
        <v>629</v>
      </c>
      <c r="O81" s="14" t="s">
        <v>631</v>
      </c>
      <c r="P81" s="14">
        <v>300.0</v>
      </c>
      <c r="Q81" s="14">
        <v>300.0</v>
      </c>
      <c r="R81" s="14">
        <v>399.0</v>
      </c>
      <c r="S81" s="14">
        <v>400.0</v>
      </c>
      <c r="T81" s="14" t="s">
        <v>902</v>
      </c>
      <c r="U81" s="14">
        <v>99.0</v>
      </c>
    </row>
    <row r="82">
      <c r="A82" s="14" t="s">
        <v>1258</v>
      </c>
      <c r="B82" s="24">
        <v>46281.0</v>
      </c>
      <c r="C82" s="14" t="s">
        <v>851</v>
      </c>
      <c r="D82" s="14" t="s">
        <v>132</v>
      </c>
      <c r="E82" s="14" t="s">
        <v>1257</v>
      </c>
      <c r="F82" s="14" t="s">
        <v>857</v>
      </c>
      <c r="G82" s="14" t="s">
        <v>860</v>
      </c>
      <c r="H82" s="14" t="s">
        <v>861</v>
      </c>
      <c r="I82" s="14">
        <v>100.0</v>
      </c>
      <c r="J82" s="14" t="s">
        <v>14</v>
      </c>
      <c r="K82" s="14">
        <v>25.0</v>
      </c>
      <c r="L82" s="14" t="s">
        <v>627</v>
      </c>
      <c r="M82" s="14" t="s">
        <v>130</v>
      </c>
      <c r="N82" s="14" t="s">
        <v>629</v>
      </c>
      <c r="O82" s="14" t="s">
        <v>631</v>
      </c>
      <c r="P82" s="14">
        <v>20.0</v>
      </c>
      <c r="Q82" s="14">
        <v>20.0</v>
      </c>
      <c r="R82" s="14">
        <v>25.0</v>
      </c>
      <c r="S82" s="14">
        <v>20.0</v>
      </c>
      <c r="T82" s="14" t="s">
        <v>633</v>
      </c>
      <c r="U82" s="14">
        <v>5.0</v>
      </c>
    </row>
    <row r="83">
      <c r="A83" s="14" t="s">
        <v>1262</v>
      </c>
      <c r="B83" s="24">
        <v>46288.0</v>
      </c>
      <c r="C83" s="14" t="s">
        <v>864</v>
      </c>
      <c r="D83" s="14" t="s">
        <v>132</v>
      </c>
      <c r="E83" s="14" t="s">
        <v>1261</v>
      </c>
      <c r="F83" s="14" t="s">
        <v>100</v>
      </c>
      <c r="G83" s="14" t="s">
        <v>101</v>
      </c>
      <c r="H83" s="14" t="s">
        <v>13</v>
      </c>
      <c r="I83" s="14">
        <v>5.0</v>
      </c>
      <c r="J83" s="14" t="s">
        <v>14</v>
      </c>
      <c r="K83" s="14">
        <v>54.0</v>
      </c>
      <c r="L83" s="14" t="s">
        <v>627</v>
      </c>
      <c r="M83" s="14" t="s">
        <v>130</v>
      </c>
      <c r="N83" s="14" t="s">
        <v>679</v>
      </c>
      <c r="O83" s="14" t="s">
        <v>787</v>
      </c>
      <c r="P83" s="14">
        <v>40.0</v>
      </c>
      <c r="Q83" s="14">
        <v>40.0</v>
      </c>
      <c r="R83" s="14">
        <v>54.0</v>
      </c>
      <c r="S83" s="14">
        <v>40.0</v>
      </c>
      <c r="T83" s="14" t="s">
        <v>633</v>
      </c>
      <c r="U83" s="14">
        <v>14.0</v>
      </c>
    </row>
    <row r="84">
      <c r="A84" s="14" t="s">
        <v>1268</v>
      </c>
      <c r="B84" s="24">
        <v>46289.0</v>
      </c>
      <c r="C84" s="14" t="s">
        <v>869</v>
      </c>
      <c r="D84" s="14" t="s">
        <v>132</v>
      </c>
      <c r="E84" s="14" t="s">
        <v>1266</v>
      </c>
      <c r="F84" s="14" t="s">
        <v>872</v>
      </c>
      <c r="G84" s="14" t="s">
        <v>873</v>
      </c>
      <c r="H84" s="14" t="s">
        <v>430</v>
      </c>
      <c r="I84" s="14">
        <v>3.0</v>
      </c>
      <c r="J84" s="14" t="s">
        <v>14</v>
      </c>
      <c r="K84" s="14">
        <v>25.0</v>
      </c>
      <c r="L84" s="14" t="s">
        <v>627</v>
      </c>
      <c r="M84" s="14" t="s">
        <v>130</v>
      </c>
      <c r="N84" s="14" t="s">
        <v>629</v>
      </c>
      <c r="O84" s="14" t="s">
        <v>631</v>
      </c>
      <c r="P84" s="14">
        <v>23.0</v>
      </c>
      <c r="Q84" s="14">
        <v>24.0</v>
      </c>
      <c r="R84" s="14">
        <v>34.0</v>
      </c>
      <c r="S84" s="14">
        <v>25.0</v>
      </c>
      <c r="T84" s="14" t="s">
        <v>633</v>
      </c>
      <c r="U84" s="14">
        <v>10.0</v>
      </c>
    </row>
    <row r="85">
      <c r="A85" s="14" t="s">
        <v>1275</v>
      </c>
      <c r="B85" s="24">
        <v>46289.0</v>
      </c>
      <c r="C85" s="14" t="s">
        <v>877</v>
      </c>
      <c r="D85" s="14" t="s">
        <v>111</v>
      </c>
      <c r="E85" s="14" t="s">
        <v>1273</v>
      </c>
      <c r="F85" s="14" t="s">
        <v>515</v>
      </c>
      <c r="G85" s="14" t="s">
        <v>517</v>
      </c>
      <c r="H85" s="14" t="s">
        <v>362</v>
      </c>
      <c r="I85" s="14">
        <v>20.0</v>
      </c>
      <c r="J85" s="14" t="s">
        <v>14</v>
      </c>
      <c r="K85" s="14">
        <v>200.0</v>
      </c>
      <c r="L85" s="14" t="s">
        <v>627</v>
      </c>
      <c r="M85" s="14" t="s">
        <v>130</v>
      </c>
      <c r="N85" s="14" t="s">
        <v>679</v>
      </c>
      <c r="O85" s="14" t="s">
        <v>787</v>
      </c>
      <c r="P85" s="14">
        <v>200.0</v>
      </c>
      <c r="Q85" s="14">
        <v>200.0</v>
      </c>
      <c r="R85" s="14">
        <v>230.0</v>
      </c>
      <c r="S85" s="14">
        <v>200.0</v>
      </c>
      <c r="T85" s="14" t="s">
        <v>633</v>
      </c>
      <c r="U85" s="14">
        <v>30.0</v>
      </c>
    </row>
    <row r="86">
      <c r="A86" s="14" t="s">
        <v>1280</v>
      </c>
      <c r="B86" s="24">
        <v>46289.0</v>
      </c>
      <c r="C86" s="14" t="s">
        <v>882</v>
      </c>
      <c r="D86" s="14" t="s">
        <v>111</v>
      </c>
      <c r="E86" s="14" t="s">
        <v>1279</v>
      </c>
      <c r="F86" s="14" t="s">
        <v>225</v>
      </c>
      <c r="G86" s="14" t="s">
        <v>226</v>
      </c>
      <c r="H86" s="14" t="s">
        <v>13</v>
      </c>
      <c r="I86" s="14">
        <v>100.0</v>
      </c>
      <c r="J86" s="14" t="s">
        <v>214</v>
      </c>
      <c r="K86" s="14">
        <v>12.0</v>
      </c>
      <c r="L86" s="14" t="s">
        <v>627</v>
      </c>
      <c r="M86" s="14" t="s">
        <v>130</v>
      </c>
      <c r="N86" s="14" t="s">
        <v>629</v>
      </c>
      <c r="O86" s="14" t="s">
        <v>681</v>
      </c>
      <c r="P86" s="14">
        <v>13.0</v>
      </c>
      <c r="Q86" s="14">
        <v>13.0</v>
      </c>
      <c r="R86" s="14">
        <v>24.0</v>
      </c>
      <c r="S86" s="14">
        <v>15.0</v>
      </c>
      <c r="T86" s="14" t="s">
        <v>633</v>
      </c>
      <c r="U86" s="14">
        <v>3.0</v>
      </c>
    </row>
    <row r="87">
      <c r="A87" s="14" t="s">
        <v>1317</v>
      </c>
      <c r="B87" s="24">
        <v>46293.0</v>
      </c>
      <c r="C87" s="14" t="s">
        <v>887</v>
      </c>
      <c r="D87" s="14" t="s">
        <v>132</v>
      </c>
      <c r="E87" s="14" t="s">
        <v>1315</v>
      </c>
      <c r="F87" s="14" t="s">
        <v>889</v>
      </c>
      <c r="G87" s="14" t="s">
        <v>892</v>
      </c>
      <c r="H87" s="14" t="s">
        <v>893</v>
      </c>
      <c r="I87" s="14">
        <v>25.0</v>
      </c>
      <c r="J87" s="14" t="s">
        <v>14</v>
      </c>
      <c r="K87" s="14">
        <v>38.0</v>
      </c>
      <c r="L87" s="14" t="s">
        <v>1337</v>
      </c>
      <c r="M87" s="14" t="s">
        <v>130</v>
      </c>
      <c r="N87" s="14" t="s">
        <v>679</v>
      </c>
      <c r="O87" s="14" t="s">
        <v>631</v>
      </c>
      <c r="P87" s="14">
        <v>40.0</v>
      </c>
      <c r="Q87" s="14">
        <v>40.0</v>
      </c>
      <c r="R87" s="14">
        <v>64.0</v>
      </c>
      <c r="S87" s="14">
        <v>60.0</v>
      </c>
      <c r="T87" s="14" t="s">
        <v>633</v>
      </c>
      <c r="U87" s="14">
        <v>24.0</v>
      </c>
    </row>
    <row r="88">
      <c r="A88" s="14" t="s">
        <v>1286</v>
      </c>
      <c r="B88" s="24">
        <v>46293.0</v>
      </c>
      <c r="C88" s="14" t="s">
        <v>899</v>
      </c>
      <c r="D88" s="14" t="s">
        <v>132</v>
      </c>
      <c r="E88" s="14" t="s">
        <v>1284</v>
      </c>
      <c r="F88" s="14" t="s">
        <v>900</v>
      </c>
      <c r="G88" s="14" t="s">
        <v>901</v>
      </c>
      <c r="H88" s="14" t="s">
        <v>893</v>
      </c>
      <c r="I88" s="14">
        <v>25.0</v>
      </c>
      <c r="J88" s="14" t="s">
        <v>14</v>
      </c>
      <c r="K88" s="14">
        <v>150.0</v>
      </c>
      <c r="L88" s="14" t="s">
        <v>1337</v>
      </c>
      <c r="M88" s="14" t="s">
        <v>130</v>
      </c>
      <c r="N88" s="14" t="s">
        <v>679</v>
      </c>
      <c r="O88" s="14" t="s">
        <v>631</v>
      </c>
      <c r="P88" s="14">
        <v>150.0</v>
      </c>
      <c r="Q88" s="14">
        <v>160.0</v>
      </c>
      <c r="R88" s="14">
        <v>209.0</v>
      </c>
      <c r="S88" s="14">
        <v>160.0</v>
      </c>
      <c r="T88" s="14" t="s">
        <v>633</v>
      </c>
      <c r="U88" s="14">
        <v>49.0</v>
      </c>
    </row>
    <row r="89">
      <c r="A89" s="14" t="s">
        <v>1296</v>
      </c>
      <c r="B89" s="24">
        <v>46293.0</v>
      </c>
      <c r="C89" s="14" t="s">
        <v>907</v>
      </c>
      <c r="D89" s="14" t="s">
        <v>132</v>
      </c>
      <c r="E89" s="14" t="s">
        <v>1295</v>
      </c>
      <c r="F89" s="14" t="s">
        <v>910</v>
      </c>
      <c r="G89" s="14" t="s">
        <v>912</v>
      </c>
      <c r="H89" s="14" t="s">
        <v>893</v>
      </c>
      <c r="I89" s="14">
        <v>25.0</v>
      </c>
      <c r="J89" s="14" t="s">
        <v>14</v>
      </c>
      <c r="K89" s="14">
        <v>100.0</v>
      </c>
      <c r="L89" s="14" t="s">
        <v>1337</v>
      </c>
      <c r="M89" s="14" t="s">
        <v>130</v>
      </c>
      <c r="N89" s="14" t="s">
        <v>679</v>
      </c>
      <c r="O89" s="14" t="s">
        <v>631</v>
      </c>
      <c r="P89" s="14">
        <v>100.0</v>
      </c>
      <c r="Q89" s="14">
        <v>100.0</v>
      </c>
      <c r="R89" s="14">
        <v>139.0</v>
      </c>
      <c r="S89" s="14">
        <v>100.0</v>
      </c>
      <c r="T89" s="14" t="s">
        <v>633</v>
      </c>
      <c r="U89" s="14">
        <v>39.0</v>
      </c>
    </row>
    <row r="90">
      <c r="A90" s="14" t="s">
        <v>1310</v>
      </c>
      <c r="B90" s="24">
        <v>46293.0</v>
      </c>
      <c r="C90" s="14" t="s">
        <v>915</v>
      </c>
      <c r="D90" s="14" t="s">
        <v>132</v>
      </c>
      <c r="E90" s="14" t="s">
        <v>1309</v>
      </c>
      <c r="F90" s="14" t="s">
        <v>916</v>
      </c>
      <c r="G90" s="14" t="s">
        <v>918</v>
      </c>
      <c r="H90" s="14" t="s">
        <v>893</v>
      </c>
      <c r="I90" s="14">
        <v>25.0</v>
      </c>
      <c r="J90" s="14" t="s">
        <v>14</v>
      </c>
      <c r="K90" s="14">
        <v>180.0</v>
      </c>
      <c r="L90" s="14" t="s">
        <v>1337</v>
      </c>
      <c r="M90" s="14" t="s">
        <v>130</v>
      </c>
      <c r="N90" s="14" t="s">
        <v>679</v>
      </c>
      <c r="O90" s="14" t="s">
        <v>631</v>
      </c>
      <c r="P90" s="14">
        <v>200.0</v>
      </c>
      <c r="Q90" s="14">
        <v>190.0</v>
      </c>
      <c r="R90" s="14">
        <v>249.0</v>
      </c>
      <c r="S90" s="14">
        <v>200.0</v>
      </c>
      <c r="T90" s="14" t="s">
        <v>633</v>
      </c>
      <c r="U90" s="14">
        <v>59.0</v>
      </c>
    </row>
    <row r="91">
      <c r="A91" s="14" t="s">
        <v>1303</v>
      </c>
      <c r="B91" s="24">
        <v>46293.0</v>
      </c>
      <c r="C91" s="14" t="s">
        <v>924</v>
      </c>
      <c r="D91" s="14" t="s">
        <v>132</v>
      </c>
      <c r="E91" s="16" t="s">
        <v>1302</v>
      </c>
      <c r="F91" s="14" t="s">
        <v>926</v>
      </c>
      <c r="G91" s="14" t="s">
        <v>928</v>
      </c>
      <c r="H91" s="14" t="s">
        <v>893</v>
      </c>
      <c r="I91" s="14">
        <v>25.0</v>
      </c>
      <c r="J91" s="14" t="s">
        <v>14</v>
      </c>
      <c r="K91" s="14">
        <v>100.0</v>
      </c>
      <c r="L91" s="14" t="s">
        <v>1337</v>
      </c>
      <c r="M91" s="14" t="s">
        <v>130</v>
      </c>
      <c r="N91" s="14" t="s">
        <v>679</v>
      </c>
      <c r="O91" s="14" t="s">
        <v>631</v>
      </c>
      <c r="P91" s="14">
        <v>110.0</v>
      </c>
      <c r="Q91" s="14">
        <v>110.0</v>
      </c>
      <c r="R91" s="14">
        <v>134.0</v>
      </c>
      <c r="S91" s="14">
        <v>120.0</v>
      </c>
      <c r="T91" s="14" t="s">
        <v>633</v>
      </c>
      <c r="U91" s="14">
        <v>24.0</v>
      </c>
    </row>
    <row r="92">
      <c r="A92" s="14" t="s">
        <v>1290</v>
      </c>
      <c r="B92" s="24">
        <v>46293.0</v>
      </c>
      <c r="C92" s="14" t="s">
        <v>930</v>
      </c>
      <c r="D92" s="14" t="s">
        <v>132</v>
      </c>
      <c r="E92" s="14" t="s">
        <v>1289</v>
      </c>
      <c r="F92" s="14" t="s">
        <v>932</v>
      </c>
      <c r="G92" s="14" t="s">
        <v>934</v>
      </c>
      <c r="H92" s="14" t="s">
        <v>893</v>
      </c>
      <c r="I92" s="14">
        <v>25.0</v>
      </c>
      <c r="J92" s="14" t="s">
        <v>14</v>
      </c>
      <c r="K92" s="14">
        <v>50.0</v>
      </c>
      <c r="L92" s="14" t="s">
        <v>1337</v>
      </c>
      <c r="M92" s="14" t="s">
        <v>130</v>
      </c>
      <c r="N92" s="14" t="s">
        <v>679</v>
      </c>
      <c r="O92" s="14" t="s">
        <v>787</v>
      </c>
      <c r="P92" s="14">
        <v>50.0</v>
      </c>
      <c r="Q92" s="14">
        <v>50.0</v>
      </c>
      <c r="R92" s="14">
        <v>93.0</v>
      </c>
      <c r="S92" s="14">
        <v>75.0</v>
      </c>
      <c r="T92" s="14" t="s">
        <v>633</v>
      </c>
      <c r="U92" s="14">
        <v>43.0</v>
      </c>
    </row>
    <row r="93">
      <c r="A93" s="14" t="s">
        <v>1324</v>
      </c>
      <c r="B93" s="24">
        <v>46293.0</v>
      </c>
      <c r="C93" s="14" t="s">
        <v>938</v>
      </c>
      <c r="D93" s="14" t="s">
        <v>132</v>
      </c>
      <c r="E93" s="14" t="s">
        <v>1321</v>
      </c>
      <c r="F93" s="14" t="s">
        <v>939</v>
      </c>
      <c r="G93" s="14" t="s">
        <v>940</v>
      </c>
      <c r="H93" s="14" t="s">
        <v>893</v>
      </c>
      <c r="I93" s="14">
        <v>25.0</v>
      </c>
      <c r="J93" s="14" t="s">
        <v>14</v>
      </c>
      <c r="K93" s="14">
        <v>90.0</v>
      </c>
      <c r="L93" s="14" t="s">
        <v>1337</v>
      </c>
      <c r="M93" s="14" t="s">
        <v>130</v>
      </c>
      <c r="N93" s="14" t="s">
        <v>679</v>
      </c>
      <c r="O93" s="14" t="s">
        <v>631</v>
      </c>
      <c r="P93" s="14">
        <v>90.0</v>
      </c>
      <c r="Q93" s="14">
        <v>95.0</v>
      </c>
      <c r="R93" s="14">
        <v>129.0</v>
      </c>
      <c r="S93" s="14">
        <v>120.0</v>
      </c>
      <c r="T93" s="14" t="s">
        <v>633</v>
      </c>
      <c r="U93" s="14">
        <v>34.0</v>
      </c>
    </row>
    <row r="94">
      <c r="A94" s="14" t="s">
        <v>1329</v>
      </c>
      <c r="B94" s="24">
        <v>46293.0</v>
      </c>
      <c r="C94" s="14" t="s">
        <v>945</v>
      </c>
      <c r="D94" s="14" t="s">
        <v>132</v>
      </c>
      <c r="E94" s="14" t="s">
        <v>1328</v>
      </c>
      <c r="F94" s="14" t="s">
        <v>946</v>
      </c>
      <c r="G94" s="14" t="s">
        <v>947</v>
      </c>
      <c r="H94" s="14" t="s">
        <v>893</v>
      </c>
      <c r="I94" s="14">
        <v>25.0</v>
      </c>
      <c r="J94" s="14" t="s">
        <v>14</v>
      </c>
      <c r="K94" s="14">
        <v>100.0</v>
      </c>
      <c r="L94" s="14" t="s">
        <v>1337</v>
      </c>
      <c r="M94" s="14" t="s">
        <v>130</v>
      </c>
      <c r="N94" s="14" t="s">
        <v>679</v>
      </c>
      <c r="O94" s="14" t="s">
        <v>631</v>
      </c>
      <c r="P94" s="14">
        <v>100.0</v>
      </c>
      <c r="Q94" s="14">
        <v>100.0</v>
      </c>
      <c r="R94" s="14">
        <v>129.0</v>
      </c>
      <c r="S94" s="14">
        <v>100.0</v>
      </c>
      <c r="T94" s="14" t="s">
        <v>633</v>
      </c>
      <c r="U94" s="14">
        <v>29.0</v>
      </c>
    </row>
    <row r="95">
      <c r="A95" s="14" t="s">
        <v>1333</v>
      </c>
      <c r="B95" s="24">
        <v>46296.0</v>
      </c>
      <c r="C95" s="14" t="s">
        <v>950</v>
      </c>
      <c r="D95" s="14" t="s">
        <v>111</v>
      </c>
      <c r="E95" s="14" t="s">
        <v>1332</v>
      </c>
      <c r="F95" s="14" t="s">
        <v>953</v>
      </c>
      <c r="G95" s="14" t="s">
        <v>956</v>
      </c>
      <c r="H95" s="14" t="s">
        <v>958</v>
      </c>
      <c r="I95" s="14">
        <v>50.0</v>
      </c>
      <c r="J95" s="14" t="s">
        <v>14</v>
      </c>
      <c r="K95" s="14">
        <v>45.0</v>
      </c>
      <c r="L95" s="14" t="s">
        <v>1337</v>
      </c>
      <c r="M95" s="14" t="s">
        <v>130</v>
      </c>
      <c r="N95" s="14" t="s">
        <v>629</v>
      </c>
      <c r="O95" s="14" t="s">
        <v>631</v>
      </c>
      <c r="P95" s="14">
        <v>45.0</v>
      </c>
      <c r="Q95" s="14">
        <v>45.0</v>
      </c>
      <c r="R95" s="14">
        <v>69.0</v>
      </c>
      <c r="S95" s="14">
        <v>60.0</v>
      </c>
      <c r="T95" s="14" t="s">
        <v>633</v>
      </c>
      <c r="U95" s="14">
        <v>24.0</v>
      </c>
    </row>
    <row r="96">
      <c r="A96" s="14" t="s">
        <v>1338</v>
      </c>
      <c r="B96" s="24">
        <v>46296.0</v>
      </c>
      <c r="C96" s="14" t="s">
        <v>960</v>
      </c>
      <c r="D96" s="14" t="s">
        <v>132</v>
      </c>
      <c r="E96" s="14" t="s">
        <v>1336</v>
      </c>
      <c r="F96" s="14" t="s">
        <v>962</v>
      </c>
      <c r="G96" s="14" t="s">
        <v>963</v>
      </c>
      <c r="H96" s="14" t="s">
        <v>966</v>
      </c>
      <c r="I96" s="14">
        <v>100.0</v>
      </c>
      <c r="J96" s="14" t="s">
        <v>14</v>
      </c>
      <c r="K96" s="14">
        <v>117.0</v>
      </c>
      <c r="L96" s="14" t="s">
        <v>1337</v>
      </c>
      <c r="M96" s="14" t="s">
        <v>130</v>
      </c>
      <c r="N96" s="14" t="s">
        <v>679</v>
      </c>
      <c r="O96" s="14" t="s">
        <v>631</v>
      </c>
      <c r="P96" s="14">
        <v>110.0</v>
      </c>
      <c r="Q96" s="14">
        <v>110.0</v>
      </c>
      <c r="R96" s="14">
        <v>117.0</v>
      </c>
      <c r="S96" s="14">
        <v>110.0</v>
      </c>
      <c r="T96" s="14" t="s">
        <v>633</v>
      </c>
      <c r="U96" s="14">
        <v>7.0</v>
      </c>
    </row>
    <row r="97">
      <c r="A97" s="14" t="s">
        <v>1342</v>
      </c>
      <c r="B97" s="24">
        <v>46296.0</v>
      </c>
      <c r="C97" s="14" t="s">
        <v>970</v>
      </c>
      <c r="D97" s="14" t="s">
        <v>132</v>
      </c>
      <c r="E97" s="14" t="s">
        <v>1341</v>
      </c>
      <c r="F97" s="14" t="s">
        <v>972</v>
      </c>
      <c r="G97" s="14" t="s">
        <v>974</v>
      </c>
      <c r="H97" s="14" t="s">
        <v>966</v>
      </c>
      <c r="I97" s="14">
        <v>100.0</v>
      </c>
      <c r="J97" s="14" t="s">
        <v>14</v>
      </c>
      <c r="K97" s="14">
        <v>130.0</v>
      </c>
      <c r="L97" s="14" t="s">
        <v>1337</v>
      </c>
      <c r="M97" s="14" t="s">
        <v>130</v>
      </c>
      <c r="N97" s="14" t="s">
        <v>629</v>
      </c>
      <c r="O97" s="14" t="s">
        <v>631</v>
      </c>
      <c r="P97" s="14">
        <v>130.0</v>
      </c>
      <c r="Q97" s="14">
        <v>130.0</v>
      </c>
      <c r="R97" s="14">
        <v>136.0</v>
      </c>
      <c r="S97" s="14">
        <v>131.0</v>
      </c>
      <c r="T97" s="14" t="s">
        <v>633</v>
      </c>
      <c r="U97" s="14">
        <v>6.0</v>
      </c>
    </row>
    <row r="98">
      <c r="A98" s="14" t="s">
        <v>1348</v>
      </c>
      <c r="B98" s="24">
        <v>46298.0</v>
      </c>
      <c r="C98" s="14" t="s">
        <v>978</v>
      </c>
      <c r="D98" s="14" t="s">
        <v>132</v>
      </c>
      <c r="E98" s="14" t="s">
        <v>1347</v>
      </c>
      <c r="F98" s="14" t="s">
        <v>659</v>
      </c>
      <c r="G98" s="14" t="s">
        <v>661</v>
      </c>
      <c r="H98" s="14" t="s">
        <v>362</v>
      </c>
      <c r="I98" s="14">
        <v>20.0</v>
      </c>
      <c r="J98" s="14" t="s">
        <v>214</v>
      </c>
      <c r="K98" s="14">
        <v>40.0</v>
      </c>
      <c r="L98" s="14" t="s">
        <v>1337</v>
      </c>
      <c r="M98" s="14" t="s">
        <v>130</v>
      </c>
      <c r="N98" s="14" t="s">
        <v>629</v>
      </c>
      <c r="O98" s="14" t="s">
        <v>631</v>
      </c>
      <c r="P98" s="14">
        <v>40.0</v>
      </c>
      <c r="Q98" s="14">
        <v>40.0</v>
      </c>
      <c r="R98" s="14">
        <v>54.0</v>
      </c>
      <c r="S98" s="14">
        <v>40.0</v>
      </c>
      <c r="T98" s="14" t="s">
        <v>633</v>
      </c>
      <c r="U98" s="14">
        <v>14.0</v>
      </c>
    </row>
    <row r="99">
      <c r="A99" s="14" t="s">
        <v>1353</v>
      </c>
      <c r="B99" s="24">
        <v>46301.0</v>
      </c>
      <c r="C99" s="14" t="s">
        <v>986</v>
      </c>
      <c r="D99" s="14" t="s">
        <v>132</v>
      </c>
      <c r="E99" s="14" t="s">
        <v>1352</v>
      </c>
      <c r="F99" s="14" t="s">
        <v>476</v>
      </c>
      <c r="G99" s="14" t="s">
        <v>477</v>
      </c>
      <c r="H99" s="14" t="s">
        <v>362</v>
      </c>
      <c r="I99" s="14">
        <v>10.0</v>
      </c>
      <c r="J99" s="14" t="s">
        <v>14</v>
      </c>
      <c r="K99" s="14">
        <v>200.0</v>
      </c>
      <c r="L99" s="14" t="s">
        <v>1337</v>
      </c>
      <c r="M99" s="14" t="s">
        <v>130</v>
      </c>
      <c r="N99" s="14" t="s">
        <v>629</v>
      </c>
      <c r="O99" s="14" t="s">
        <v>631</v>
      </c>
      <c r="P99" s="14">
        <v>150.0</v>
      </c>
      <c r="Q99" s="14">
        <v>150.0</v>
      </c>
      <c r="R99" s="14">
        <v>229.0</v>
      </c>
      <c r="S99" s="14">
        <v>220.0</v>
      </c>
      <c r="T99" s="14" t="s">
        <v>652</v>
      </c>
      <c r="U99" s="14">
        <v>79.0</v>
      </c>
    </row>
    <row r="100">
      <c r="A100" s="14" t="s">
        <v>1360</v>
      </c>
      <c r="B100" s="24">
        <v>46301.0</v>
      </c>
      <c r="C100" s="14" t="s">
        <v>991</v>
      </c>
      <c r="D100" s="14" t="s">
        <v>61</v>
      </c>
      <c r="E100" s="14" t="s">
        <v>1359</v>
      </c>
      <c r="F100" s="14" t="s">
        <v>994</v>
      </c>
      <c r="G100" s="14" t="s">
        <v>995</v>
      </c>
      <c r="H100" s="14" t="s">
        <v>958</v>
      </c>
      <c r="I100" s="14">
        <v>20.0</v>
      </c>
      <c r="J100" s="14" t="s">
        <v>185</v>
      </c>
      <c r="L100" s="14" t="s">
        <v>1337</v>
      </c>
      <c r="M100" s="14" t="s">
        <v>130</v>
      </c>
      <c r="N100" s="14" t="s">
        <v>629</v>
      </c>
      <c r="O100" s="14" t="s">
        <v>631</v>
      </c>
      <c r="P100" s="14">
        <v>200.0</v>
      </c>
      <c r="Q100" s="14">
        <v>200.0</v>
      </c>
      <c r="R100" s="14">
        <v>219.0</v>
      </c>
      <c r="S100" s="14">
        <v>219.0</v>
      </c>
      <c r="T100" s="14" t="s">
        <v>711</v>
      </c>
      <c r="U100" s="14">
        <v>19.0</v>
      </c>
    </row>
    <row r="107">
      <c r="G107" s="3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8.57"/>
    <col customWidth="1" min="2" max="2" width="22.71"/>
    <col customWidth="1" min="3" max="3" width="30.71"/>
    <col customWidth="1" min="4" max="4" width="27.0"/>
    <col customWidth="1" min="5" max="5" width="25.43"/>
    <col customWidth="1" min="6" max="6" width="24.57"/>
    <col customWidth="1" min="7" max="8" width="35.14"/>
    <col customWidth="1" min="9" max="9" width="29.0"/>
    <col customWidth="1" min="11" max="11" width="17.0"/>
    <col customWidth="1" min="13" max="13" width="28.14"/>
    <col customWidth="1" min="14" max="15" width="23.71"/>
    <col customWidth="1" min="16" max="16" width="20.0"/>
    <col customWidth="1" min="17" max="17" width="22.29"/>
    <col customWidth="1" min="18" max="18" width="30.86"/>
  </cols>
  <sheetData>
    <row r="1" ht="22.5" customHeight="1">
      <c r="A1" s="6" t="s">
        <v>578</v>
      </c>
      <c r="B1" s="6" t="s">
        <v>588</v>
      </c>
      <c r="C1" s="6" t="s">
        <v>592</v>
      </c>
      <c r="D1" s="6" t="s">
        <v>598</v>
      </c>
      <c r="E1" s="6" t="s">
        <v>603</v>
      </c>
      <c r="F1" s="6" t="s">
        <v>20</v>
      </c>
      <c r="G1" s="6" t="s">
        <v>610</v>
      </c>
      <c r="H1" s="6" t="s">
        <v>329</v>
      </c>
      <c r="I1" s="6" t="s">
        <v>1</v>
      </c>
      <c r="J1" s="6" t="s">
        <v>2</v>
      </c>
      <c r="K1" s="6" t="s">
        <v>555</v>
      </c>
      <c r="L1" s="6" t="s">
        <v>345</v>
      </c>
      <c r="M1" s="6" t="s">
        <v>630</v>
      </c>
      <c r="N1" s="6" t="s">
        <v>636</v>
      </c>
      <c r="O1" s="6" t="s">
        <v>641</v>
      </c>
      <c r="P1" s="6" t="s">
        <v>645</v>
      </c>
      <c r="Q1" s="6" t="s">
        <v>650</v>
      </c>
      <c r="R1" s="6" t="s">
        <v>5</v>
      </c>
    </row>
    <row r="2">
      <c r="A2" s="14" t="s">
        <v>660</v>
      </c>
      <c r="B2" s="24">
        <v>46275.0</v>
      </c>
      <c r="C2" s="13">
        <v>46275.6659375</v>
      </c>
      <c r="D2" s="14" t="s">
        <v>662</v>
      </c>
      <c r="E2" s="14" t="s">
        <v>664</v>
      </c>
      <c r="F2" s="14" t="s">
        <v>61</v>
      </c>
      <c r="G2" s="14" t="s">
        <v>667</v>
      </c>
      <c r="H2" s="14" t="s">
        <v>68</v>
      </c>
      <c r="I2" s="14" t="s">
        <v>159</v>
      </c>
      <c r="J2" s="14" t="s">
        <v>13</v>
      </c>
      <c r="K2" s="14">
        <v>80.0</v>
      </c>
      <c r="L2" s="14" t="s">
        <v>359</v>
      </c>
      <c r="M2" s="14">
        <v>17.0</v>
      </c>
      <c r="N2" s="14">
        <v>1360.0</v>
      </c>
      <c r="O2" s="14" t="s">
        <v>673</v>
      </c>
      <c r="P2" s="14" t="s">
        <v>674</v>
      </c>
      <c r="R2" s="14" t="s">
        <v>676</v>
      </c>
    </row>
    <row r="3">
      <c r="A3" s="14" t="s">
        <v>678</v>
      </c>
      <c r="B3" s="24">
        <v>46275.0</v>
      </c>
      <c r="C3" s="13">
        <v>46275.66599537037</v>
      </c>
      <c r="D3" s="14" t="s">
        <v>662</v>
      </c>
      <c r="E3" s="14" t="s">
        <v>683</v>
      </c>
      <c r="F3" s="14" t="s">
        <v>61</v>
      </c>
      <c r="G3" s="14" t="s">
        <v>685</v>
      </c>
      <c r="H3" s="14" t="s">
        <v>68</v>
      </c>
      <c r="I3" s="14" t="s">
        <v>144</v>
      </c>
      <c r="J3" s="14" t="s">
        <v>13</v>
      </c>
      <c r="K3" s="14">
        <v>50.0</v>
      </c>
      <c r="L3" s="14" t="s">
        <v>383</v>
      </c>
      <c r="M3" s="14">
        <v>18.0</v>
      </c>
      <c r="N3" s="14">
        <v>900.0</v>
      </c>
      <c r="O3" s="14" t="s">
        <v>673</v>
      </c>
      <c r="P3" s="14" t="s">
        <v>674</v>
      </c>
      <c r="R3" s="14" t="s">
        <v>676</v>
      </c>
    </row>
    <row r="4">
      <c r="A4" s="14" t="s">
        <v>691</v>
      </c>
      <c r="B4" s="24">
        <v>46275.0</v>
      </c>
      <c r="C4" s="13">
        <v>46275.612962962965</v>
      </c>
      <c r="D4" s="14" t="s">
        <v>692</v>
      </c>
      <c r="E4" s="14" t="s">
        <v>622</v>
      </c>
      <c r="F4" s="14" t="s">
        <v>61</v>
      </c>
      <c r="G4" s="14" t="s">
        <v>619</v>
      </c>
      <c r="H4" s="14" t="s">
        <v>68</v>
      </c>
      <c r="I4" s="14" t="s">
        <v>28</v>
      </c>
      <c r="J4" s="14" t="s">
        <v>13</v>
      </c>
      <c r="K4" s="14">
        <v>69.0</v>
      </c>
      <c r="L4" s="14" t="s">
        <v>359</v>
      </c>
      <c r="M4" s="14">
        <v>28.0</v>
      </c>
      <c r="N4" s="14">
        <v>1932.0</v>
      </c>
      <c r="O4" s="14" t="s">
        <v>673</v>
      </c>
      <c r="P4" s="14" t="s">
        <v>674</v>
      </c>
      <c r="Q4" s="24">
        <v>46275.0</v>
      </c>
      <c r="R4" s="14" t="s">
        <v>676</v>
      </c>
    </row>
    <row r="5">
      <c r="A5" s="14" t="s">
        <v>699</v>
      </c>
      <c r="B5" s="24">
        <v>46275.0</v>
      </c>
      <c r="C5" s="13">
        <v>46275.66612268519</v>
      </c>
      <c r="D5" s="14" t="s">
        <v>662</v>
      </c>
      <c r="E5" s="14" t="s">
        <v>640</v>
      </c>
      <c r="F5" s="14" t="s">
        <v>61</v>
      </c>
      <c r="G5" s="14" t="s">
        <v>638</v>
      </c>
      <c r="H5" s="14" t="s">
        <v>68</v>
      </c>
      <c r="I5" s="14" t="s">
        <v>83</v>
      </c>
      <c r="J5" s="14" t="s">
        <v>13</v>
      </c>
      <c r="K5" s="14">
        <v>40.0</v>
      </c>
      <c r="L5" s="14" t="s">
        <v>359</v>
      </c>
      <c r="M5" s="14">
        <v>40.0</v>
      </c>
      <c r="N5" s="14">
        <v>1600.0</v>
      </c>
      <c r="O5" s="14" t="s">
        <v>673</v>
      </c>
      <c r="P5" s="14" t="s">
        <v>674</v>
      </c>
      <c r="Q5" s="24">
        <v>46275.0</v>
      </c>
      <c r="R5" s="14" t="s">
        <v>676</v>
      </c>
    </row>
    <row r="6">
      <c r="A6" s="14" t="s">
        <v>705</v>
      </c>
      <c r="B6" s="24">
        <v>46275.0</v>
      </c>
      <c r="C6" s="13">
        <v>46275.1244212963</v>
      </c>
      <c r="D6" s="14" t="s">
        <v>692</v>
      </c>
      <c r="E6" s="14" t="s">
        <v>704</v>
      </c>
      <c r="F6" s="14" t="s">
        <v>61</v>
      </c>
      <c r="G6" s="14" t="s">
        <v>702</v>
      </c>
      <c r="H6" s="14" t="s">
        <v>68</v>
      </c>
      <c r="I6" s="14" t="s">
        <v>59</v>
      </c>
      <c r="J6" s="14" t="s">
        <v>13</v>
      </c>
      <c r="K6" s="14">
        <v>40.0</v>
      </c>
      <c r="L6" s="14" t="s">
        <v>359</v>
      </c>
      <c r="M6" s="14">
        <v>31.0</v>
      </c>
      <c r="N6" s="14">
        <v>1240.0</v>
      </c>
      <c r="O6" s="14" t="s">
        <v>673</v>
      </c>
      <c r="P6" s="14" t="s">
        <v>674</v>
      </c>
      <c r="Q6" s="24">
        <v>46275.0</v>
      </c>
      <c r="R6" s="14" t="s">
        <v>676</v>
      </c>
    </row>
    <row r="7">
      <c r="A7" s="14" t="s">
        <v>730</v>
      </c>
      <c r="B7" s="24">
        <v>46275.0</v>
      </c>
      <c r="C7" s="13">
        <v>46275.66619212963</v>
      </c>
      <c r="D7" s="14" t="s">
        <v>662</v>
      </c>
      <c r="E7" s="14" t="s">
        <v>718</v>
      </c>
      <c r="F7" s="14" t="s">
        <v>61</v>
      </c>
      <c r="G7" s="14" t="s">
        <v>715</v>
      </c>
      <c r="H7" s="14" t="s">
        <v>68</v>
      </c>
      <c r="I7" s="14" t="s">
        <v>190</v>
      </c>
      <c r="J7" s="14" t="s">
        <v>13</v>
      </c>
      <c r="K7" s="14">
        <v>70.0</v>
      </c>
      <c r="L7" s="14" t="s">
        <v>359</v>
      </c>
      <c r="M7" s="14">
        <v>26.0</v>
      </c>
      <c r="N7" s="14">
        <v>1820.0</v>
      </c>
      <c r="O7" s="14" t="s">
        <v>673</v>
      </c>
      <c r="P7" s="14" t="s">
        <v>674</v>
      </c>
      <c r="R7" s="14" t="s">
        <v>676</v>
      </c>
    </row>
    <row r="8">
      <c r="A8" s="14" t="s">
        <v>744</v>
      </c>
      <c r="B8" s="24">
        <v>46275.0</v>
      </c>
      <c r="C8" s="13">
        <v>46275.61127314815</v>
      </c>
      <c r="D8" s="14" t="s">
        <v>662</v>
      </c>
      <c r="E8" s="14" t="s">
        <v>658</v>
      </c>
      <c r="F8" s="14" t="s">
        <v>61</v>
      </c>
      <c r="G8" s="14" t="s">
        <v>655</v>
      </c>
      <c r="H8" s="14" t="s">
        <v>68</v>
      </c>
      <c r="I8" s="14" t="s">
        <v>12</v>
      </c>
      <c r="J8" s="14" t="s">
        <v>13</v>
      </c>
      <c r="K8" s="14">
        <v>100.0</v>
      </c>
      <c r="L8" s="14" t="s">
        <v>359</v>
      </c>
      <c r="M8" s="14">
        <v>12.0</v>
      </c>
      <c r="N8" s="14">
        <v>1200.0</v>
      </c>
      <c r="O8" s="14" t="s">
        <v>673</v>
      </c>
      <c r="P8" s="14" t="s">
        <v>674</v>
      </c>
      <c r="Q8" s="24">
        <v>46275.0</v>
      </c>
      <c r="R8" s="14" t="s">
        <v>676</v>
      </c>
    </row>
    <row r="9">
      <c r="A9" s="14" t="s">
        <v>755</v>
      </c>
      <c r="B9" s="24">
        <v>46275.0</v>
      </c>
      <c r="C9" s="13">
        <v>46275.66668981482</v>
      </c>
      <c r="D9" s="14" t="s">
        <v>662</v>
      </c>
      <c r="E9" s="14" t="s">
        <v>732</v>
      </c>
      <c r="F9" s="14" t="s">
        <v>61</v>
      </c>
      <c r="G9" s="14" t="s">
        <v>729</v>
      </c>
      <c r="H9" s="14" t="s">
        <v>68</v>
      </c>
      <c r="I9" s="14" t="s">
        <v>204</v>
      </c>
      <c r="J9" s="14" t="s">
        <v>13</v>
      </c>
      <c r="K9" s="14">
        <v>40.0</v>
      </c>
      <c r="L9" s="14" t="s">
        <v>359</v>
      </c>
      <c r="M9" s="14">
        <v>18.0</v>
      </c>
      <c r="N9" s="14">
        <v>720.0</v>
      </c>
      <c r="O9" s="14" t="s">
        <v>673</v>
      </c>
      <c r="P9" s="14" t="s">
        <v>674</v>
      </c>
      <c r="R9" s="14" t="s">
        <v>676</v>
      </c>
    </row>
    <row r="10">
      <c r="A10" s="14" t="s">
        <v>762</v>
      </c>
      <c r="B10" s="24">
        <v>46275.0</v>
      </c>
      <c r="C10" s="13">
        <v>46275.666712962964</v>
      </c>
      <c r="D10" s="14" t="s">
        <v>662</v>
      </c>
      <c r="E10" s="14" t="s">
        <v>767</v>
      </c>
      <c r="F10" s="14" t="s">
        <v>61</v>
      </c>
      <c r="G10" s="14" t="s">
        <v>764</v>
      </c>
      <c r="H10" s="14" t="s">
        <v>68</v>
      </c>
      <c r="I10" s="14" t="s">
        <v>406</v>
      </c>
      <c r="J10" s="14" t="s">
        <v>362</v>
      </c>
      <c r="K10" s="14">
        <v>70.0</v>
      </c>
      <c r="L10" s="14" t="s">
        <v>791</v>
      </c>
      <c r="M10" s="14">
        <v>30.0</v>
      </c>
      <c r="N10" s="14">
        <v>2100.0</v>
      </c>
      <c r="O10" s="14" t="s">
        <v>673</v>
      </c>
      <c r="P10" s="14" t="s">
        <v>674</v>
      </c>
      <c r="R10" s="14" t="s">
        <v>676</v>
      </c>
    </row>
    <row r="11">
      <c r="A11" s="14" t="s">
        <v>796</v>
      </c>
      <c r="B11" s="24">
        <v>46275.0</v>
      </c>
      <c r="C11" s="13">
        <v>46275.66674768519</v>
      </c>
      <c r="D11" s="14" t="s">
        <v>662</v>
      </c>
      <c r="E11" s="14" t="s">
        <v>756</v>
      </c>
      <c r="F11" s="14" t="s">
        <v>61</v>
      </c>
      <c r="G11" s="14" t="s">
        <v>752</v>
      </c>
      <c r="H11" s="14" t="s">
        <v>68</v>
      </c>
      <c r="I11" s="14" t="s">
        <v>397</v>
      </c>
      <c r="J11" s="14" t="s">
        <v>362</v>
      </c>
      <c r="K11" s="14">
        <v>10.0</v>
      </c>
      <c r="L11" s="14" t="s">
        <v>359</v>
      </c>
      <c r="M11" s="14">
        <v>26.0</v>
      </c>
      <c r="N11" s="14">
        <v>260.0</v>
      </c>
      <c r="O11" s="14" t="s">
        <v>673</v>
      </c>
      <c r="P11" s="14" t="s">
        <v>674</v>
      </c>
      <c r="R11" s="14" t="s">
        <v>676</v>
      </c>
    </row>
    <row r="12">
      <c r="A12" s="14" t="s">
        <v>806</v>
      </c>
      <c r="B12" s="24">
        <v>46275.0</v>
      </c>
      <c r="D12" s="14" t="s">
        <v>692</v>
      </c>
      <c r="E12" s="14" t="s">
        <v>776</v>
      </c>
      <c r="F12" s="14" t="s">
        <v>61</v>
      </c>
      <c r="G12" s="14" t="s">
        <v>775</v>
      </c>
      <c r="H12" s="14" t="s">
        <v>68</v>
      </c>
      <c r="I12" s="14" t="s">
        <v>382</v>
      </c>
      <c r="J12" s="14" t="s">
        <v>362</v>
      </c>
      <c r="K12" s="14">
        <v>100.0</v>
      </c>
      <c r="L12" s="14" t="s">
        <v>791</v>
      </c>
      <c r="M12" s="14">
        <v>3.0</v>
      </c>
      <c r="N12" s="14">
        <v>300.0</v>
      </c>
      <c r="O12" s="14" t="s">
        <v>673</v>
      </c>
      <c r="P12" s="14" t="s">
        <v>674</v>
      </c>
      <c r="Q12" s="24">
        <v>46275.0</v>
      </c>
      <c r="R12" s="14" t="s">
        <v>676</v>
      </c>
    </row>
    <row r="13">
      <c r="A13" s="14" t="s">
        <v>812</v>
      </c>
      <c r="B13" s="24">
        <v>46275.0</v>
      </c>
      <c r="C13" s="13">
        <v>46275.66699074074</v>
      </c>
      <c r="D13" s="14" t="s">
        <v>662</v>
      </c>
      <c r="E13" s="14" t="s">
        <v>783</v>
      </c>
      <c r="F13" s="14" t="s">
        <v>61</v>
      </c>
      <c r="G13" s="14" t="s">
        <v>781</v>
      </c>
      <c r="H13" s="14" t="s">
        <v>68</v>
      </c>
      <c r="I13" s="14" t="s">
        <v>428</v>
      </c>
      <c r="J13" s="14" t="s">
        <v>430</v>
      </c>
      <c r="K13" s="14">
        <v>100.0</v>
      </c>
      <c r="L13" s="14" t="s">
        <v>818</v>
      </c>
      <c r="M13" s="14">
        <v>4.0</v>
      </c>
      <c r="N13" s="14">
        <v>400.0</v>
      </c>
      <c r="O13" s="14" t="s">
        <v>673</v>
      </c>
      <c r="P13" s="14" t="s">
        <v>674</v>
      </c>
      <c r="R13" s="14" t="s">
        <v>676</v>
      </c>
    </row>
    <row r="14">
      <c r="A14" s="14" t="s">
        <v>822</v>
      </c>
      <c r="B14" s="24">
        <v>46275.0</v>
      </c>
      <c r="C14" s="13">
        <v>46275.66701388889</v>
      </c>
      <c r="D14" s="14" t="s">
        <v>662</v>
      </c>
      <c r="E14" s="14" t="s">
        <v>792</v>
      </c>
      <c r="F14" s="14" t="s">
        <v>61</v>
      </c>
      <c r="G14" s="14" t="s">
        <v>790</v>
      </c>
      <c r="H14" s="14" t="s">
        <v>68</v>
      </c>
      <c r="I14" s="14" t="s">
        <v>435</v>
      </c>
      <c r="J14" s="14" t="s">
        <v>430</v>
      </c>
      <c r="K14" s="14">
        <v>100.0</v>
      </c>
      <c r="L14" s="14" t="s">
        <v>818</v>
      </c>
      <c r="M14" s="14">
        <v>1.0</v>
      </c>
      <c r="N14" s="14">
        <v>100.0</v>
      </c>
      <c r="O14" s="14" t="s">
        <v>673</v>
      </c>
      <c r="P14" s="14" t="s">
        <v>674</v>
      </c>
      <c r="R14" s="14" t="s">
        <v>676</v>
      </c>
    </row>
    <row r="15">
      <c r="A15" s="14" t="s">
        <v>829</v>
      </c>
      <c r="B15" s="24">
        <v>46275.0</v>
      </c>
      <c r="C15" s="13">
        <v>46275.66704861111</v>
      </c>
      <c r="D15" s="14" t="s">
        <v>662</v>
      </c>
      <c r="E15" s="14" t="s">
        <v>803</v>
      </c>
      <c r="F15" s="14" t="s">
        <v>61</v>
      </c>
      <c r="G15" s="14" t="s">
        <v>798</v>
      </c>
      <c r="H15" s="14" t="s">
        <v>68</v>
      </c>
      <c r="I15" s="14" t="s">
        <v>440</v>
      </c>
      <c r="J15" s="14" t="s">
        <v>430</v>
      </c>
      <c r="K15" s="14">
        <v>100.0</v>
      </c>
      <c r="L15" s="14" t="s">
        <v>818</v>
      </c>
      <c r="M15" s="14">
        <v>1.0</v>
      </c>
      <c r="N15" s="14">
        <v>100.0</v>
      </c>
      <c r="O15" s="14" t="s">
        <v>673</v>
      </c>
      <c r="P15" s="14" t="s">
        <v>674</v>
      </c>
      <c r="R15" s="14" t="s">
        <v>676</v>
      </c>
    </row>
    <row r="16">
      <c r="A16" s="14" t="s">
        <v>836</v>
      </c>
      <c r="B16" s="24">
        <v>46275.0</v>
      </c>
      <c r="C16" s="13">
        <v>46275.66707175926</v>
      </c>
      <c r="D16" s="14" t="s">
        <v>662</v>
      </c>
      <c r="E16" s="14" t="s">
        <v>672</v>
      </c>
      <c r="F16" s="14" t="s">
        <v>61</v>
      </c>
      <c r="G16" s="14" t="s">
        <v>668</v>
      </c>
      <c r="H16" s="14" t="s">
        <v>68</v>
      </c>
      <c r="I16" s="14" t="s">
        <v>50</v>
      </c>
      <c r="J16" s="14" t="s">
        <v>13</v>
      </c>
      <c r="K16" s="14">
        <v>100.0</v>
      </c>
      <c r="L16" s="14" t="s">
        <v>359</v>
      </c>
      <c r="M16" s="14">
        <v>16.0</v>
      </c>
      <c r="N16" s="14">
        <v>1600.0</v>
      </c>
      <c r="O16" s="14" t="s">
        <v>673</v>
      </c>
      <c r="P16" s="14" t="s">
        <v>674</v>
      </c>
      <c r="R16" s="14" t="s">
        <v>676</v>
      </c>
    </row>
    <row r="17">
      <c r="A17" s="14" t="s">
        <v>842</v>
      </c>
      <c r="B17" s="24">
        <v>46275.0</v>
      </c>
      <c r="C17" s="13">
        <v>46275.77476851852</v>
      </c>
      <c r="D17" s="14" t="s">
        <v>692</v>
      </c>
      <c r="E17" s="14" t="s">
        <v>690</v>
      </c>
      <c r="F17" s="14" t="s">
        <v>61</v>
      </c>
      <c r="G17" s="14" t="s">
        <v>688</v>
      </c>
      <c r="H17" s="14" t="s">
        <v>68</v>
      </c>
      <c r="I17" s="14" t="s">
        <v>128</v>
      </c>
      <c r="J17" s="14" t="s">
        <v>13</v>
      </c>
      <c r="K17" s="14">
        <v>30.0</v>
      </c>
      <c r="L17" s="14" t="s">
        <v>359</v>
      </c>
      <c r="M17" s="14">
        <v>30.0</v>
      </c>
      <c r="N17" s="14">
        <v>900.0</v>
      </c>
      <c r="O17" s="14" t="s">
        <v>673</v>
      </c>
      <c r="P17" s="14" t="s">
        <v>674</v>
      </c>
      <c r="Q17" s="24">
        <v>46275.0</v>
      </c>
      <c r="R17" s="14" t="s">
        <v>676</v>
      </c>
    </row>
    <row r="18">
      <c r="A18" s="14" t="s">
        <v>848</v>
      </c>
      <c r="B18" s="24">
        <v>46276.0</v>
      </c>
      <c r="C18" s="13">
        <v>46276.65819444445</v>
      </c>
      <c r="D18" s="14" t="s">
        <v>662</v>
      </c>
      <c r="E18" s="14" t="s">
        <v>852</v>
      </c>
      <c r="F18" s="14" t="s">
        <v>111</v>
      </c>
      <c r="G18" s="14" t="s">
        <v>854</v>
      </c>
      <c r="H18" s="14" t="s">
        <v>115</v>
      </c>
      <c r="I18" s="14" t="s">
        <v>165</v>
      </c>
      <c r="J18" s="14" t="s">
        <v>13</v>
      </c>
      <c r="K18" s="14">
        <v>10.0</v>
      </c>
      <c r="L18" s="14" t="s">
        <v>791</v>
      </c>
      <c r="M18" s="14">
        <v>30.0</v>
      </c>
      <c r="N18" s="14">
        <v>300.0</v>
      </c>
      <c r="O18" s="14" t="s">
        <v>673</v>
      </c>
      <c r="P18" s="14" t="s">
        <v>674</v>
      </c>
      <c r="Q18" s="24">
        <v>46276.0</v>
      </c>
      <c r="R18" s="14" t="s">
        <v>676</v>
      </c>
    </row>
    <row r="19">
      <c r="A19" s="14" t="s">
        <v>862</v>
      </c>
      <c r="B19" s="24">
        <v>46276.0</v>
      </c>
      <c r="C19" s="29">
        <v>46276.6584375</v>
      </c>
      <c r="D19" s="14" t="s">
        <v>662</v>
      </c>
      <c r="E19" s="14" t="s">
        <v>834</v>
      </c>
      <c r="F19" s="14" t="s">
        <v>111</v>
      </c>
      <c r="G19" s="14" t="s">
        <v>833</v>
      </c>
      <c r="H19" s="14" t="s">
        <v>115</v>
      </c>
      <c r="I19" s="14" t="s">
        <v>93</v>
      </c>
      <c r="J19" s="14" t="s">
        <v>13</v>
      </c>
      <c r="K19" s="14">
        <v>20.0</v>
      </c>
      <c r="L19" s="14" t="s">
        <v>359</v>
      </c>
      <c r="M19" s="14">
        <v>40.0</v>
      </c>
      <c r="N19" s="14">
        <v>800.0</v>
      </c>
      <c r="O19" s="14" t="s">
        <v>673</v>
      </c>
      <c r="P19" s="14" t="s">
        <v>674</v>
      </c>
      <c r="Q19" s="24">
        <v>46276.0</v>
      </c>
      <c r="R19" s="14" t="s">
        <v>676</v>
      </c>
    </row>
    <row r="20">
      <c r="A20" s="14" t="s">
        <v>871</v>
      </c>
      <c r="B20" s="24">
        <v>46276.0</v>
      </c>
      <c r="C20" s="13">
        <v>46276.65934027778</v>
      </c>
      <c r="D20" s="14" t="s">
        <v>662</v>
      </c>
      <c r="E20" s="14" t="s">
        <v>874</v>
      </c>
      <c r="F20" s="14" t="s">
        <v>111</v>
      </c>
      <c r="G20" s="14" t="s">
        <v>875</v>
      </c>
      <c r="H20" s="14" t="s">
        <v>115</v>
      </c>
      <c r="I20" s="14" t="s">
        <v>221</v>
      </c>
      <c r="J20" s="14" t="s">
        <v>13</v>
      </c>
      <c r="K20" s="14">
        <v>20.0</v>
      </c>
      <c r="L20" s="14" t="s">
        <v>359</v>
      </c>
      <c r="M20" s="14">
        <v>24.0</v>
      </c>
      <c r="N20" s="14">
        <v>480.0</v>
      </c>
      <c r="O20" s="14" t="s">
        <v>673</v>
      </c>
      <c r="P20" s="14" t="s">
        <v>674</v>
      </c>
      <c r="Q20" s="24">
        <v>46276.0</v>
      </c>
      <c r="R20" s="14" t="s">
        <v>676</v>
      </c>
    </row>
    <row r="21">
      <c r="A21" s="14" t="s">
        <v>881</v>
      </c>
      <c r="B21" s="24">
        <v>46276.0</v>
      </c>
      <c r="C21" s="13">
        <v>46276.655590277776</v>
      </c>
      <c r="D21" s="14" t="s">
        <v>662</v>
      </c>
      <c r="E21" s="14" t="s">
        <v>883</v>
      </c>
      <c r="F21" s="14" t="s">
        <v>111</v>
      </c>
      <c r="G21" s="14" t="s">
        <v>884</v>
      </c>
      <c r="H21" s="14" t="s">
        <v>115</v>
      </c>
      <c r="I21" s="14" t="s">
        <v>213</v>
      </c>
      <c r="J21" s="14" t="s">
        <v>13</v>
      </c>
      <c r="K21" s="14">
        <v>20.0</v>
      </c>
      <c r="L21" s="14" t="s">
        <v>359</v>
      </c>
      <c r="M21" s="14">
        <v>25.0</v>
      </c>
      <c r="N21" s="14">
        <v>500.0</v>
      </c>
      <c r="O21" s="14" t="s">
        <v>673</v>
      </c>
      <c r="P21" s="14" t="s">
        <v>674</v>
      </c>
      <c r="R21" s="14" t="s">
        <v>676</v>
      </c>
    </row>
    <row r="22">
      <c r="A22" s="14" t="s">
        <v>891</v>
      </c>
      <c r="B22" s="24">
        <v>46276.0</v>
      </c>
      <c r="C22" s="13">
        <v>46276.65571759259</v>
      </c>
      <c r="D22" s="14" t="s">
        <v>662</v>
      </c>
      <c r="E22" s="14" t="s">
        <v>894</v>
      </c>
      <c r="F22" s="14" t="s">
        <v>111</v>
      </c>
      <c r="G22" s="14" t="s">
        <v>896</v>
      </c>
      <c r="H22" s="14" t="s">
        <v>115</v>
      </c>
      <c r="I22" s="14" t="s">
        <v>114</v>
      </c>
      <c r="J22" s="14" t="s">
        <v>13</v>
      </c>
      <c r="K22" s="14">
        <v>20.0</v>
      </c>
      <c r="L22" s="14" t="s">
        <v>359</v>
      </c>
      <c r="M22" s="14">
        <v>30.0</v>
      </c>
      <c r="N22" s="14">
        <v>600.0</v>
      </c>
      <c r="O22" s="14" t="s">
        <v>673</v>
      </c>
      <c r="P22" s="14" t="s">
        <v>674</v>
      </c>
      <c r="R22" s="14" t="s">
        <v>676</v>
      </c>
    </row>
    <row r="23">
      <c r="A23" s="14" t="s">
        <v>905</v>
      </c>
      <c r="B23" s="24">
        <v>46276.0</v>
      </c>
      <c r="C23" s="13">
        <v>46276.65965277778</v>
      </c>
      <c r="D23" s="14" t="s">
        <v>662</v>
      </c>
      <c r="E23" s="14" t="s">
        <v>909</v>
      </c>
      <c r="F23" s="14" t="s">
        <v>111</v>
      </c>
      <c r="G23" s="14" t="s">
        <v>911</v>
      </c>
      <c r="H23" s="14" t="s">
        <v>115</v>
      </c>
      <c r="I23" s="14" t="s">
        <v>184</v>
      </c>
      <c r="J23" s="14" t="s">
        <v>13</v>
      </c>
      <c r="K23" s="14">
        <v>10.0</v>
      </c>
      <c r="L23" s="14" t="s">
        <v>818</v>
      </c>
      <c r="M23" s="14">
        <v>20.0</v>
      </c>
      <c r="N23" s="14">
        <v>200.0</v>
      </c>
      <c r="O23" s="14" t="s">
        <v>673</v>
      </c>
      <c r="P23" s="14" t="s">
        <v>674</v>
      </c>
      <c r="Q23" s="24">
        <v>46276.0</v>
      </c>
      <c r="R23" s="14" t="s">
        <v>676</v>
      </c>
    </row>
    <row r="24">
      <c r="A24" s="14" t="s">
        <v>919</v>
      </c>
      <c r="B24" s="24">
        <v>46276.0</v>
      </c>
      <c r="C24" s="13">
        <v>46276.659780092596</v>
      </c>
      <c r="D24" s="14" t="s">
        <v>662</v>
      </c>
      <c r="E24" s="14" t="s">
        <v>922</v>
      </c>
      <c r="F24" s="14" t="s">
        <v>111</v>
      </c>
      <c r="G24" s="14" t="s">
        <v>925</v>
      </c>
      <c r="H24" s="14" t="s">
        <v>115</v>
      </c>
      <c r="I24" s="30" t="s">
        <v>208</v>
      </c>
      <c r="J24" s="14" t="s">
        <v>13</v>
      </c>
      <c r="K24" s="14">
        <v>15.0</v>
      </c>
      <c r="L24" s="14" t="s">
        <v>359</v>
      </c>
      <c r="M24" s="14">
        <v>25.0</v>
      </c>
      <c r="N24" s="14">
        <v>375.0</v>
      </c>
      <c r="O24" s="14" t="s">
        <v>673</v>
      </c>
      <c r="P24" s="14" t="s">
        <v>674</v>
      </c>
      <c r="Q24" s="24">
        <v>46276.0</v>
      </c>
      <c r="R24" s="14" t="s">
        <v>676</v>
      </c>
    </row>
    <row r="25">
      <c r="A25" s="14" t="s">
        <v>935</v>
      </c>
      <c r="B25" s="24">
        <v>46276.0</v>
      </c>
      <c r="C25" s="13">
        <v>46276.659907407404</v>
      </c>
      <c r="D25" s="14" t="s">
        <v>662</v>
      </c>
      <c r="E25" s="14" t="s">
        <v>814</v>
      </c>
      <c r="F25" s="14" t="s">
        <v>111</v>
      </c>
      <c r="G25" s="14" t="s">
        <v>810</v>
      </c>
      <c r="H25" s="14" t="s">
        <v>115</v>
      </c>
      <c r="I25" s="14" t="s">
        <v>41</v>
      </c>
      <c r="J25" s="14" t="s">
        <v>13</v>
      </c>
      <c r="K25" s="14">
        <v>50.0</v>
      </c>
      <c r="L25" s="14" t="s">
        <v>359</v>
      </c>
      <c r="M25" s="14">
        <v>50.0</v>
      </c>
      <c r="N25" s="14">
        <v>1500.0</v>
      </c>
      <c r="O25" s="14" t="s">
        <v>673</v>
      </c>
      <c r="P25" s="14" t="s">
        <v>674</v>
      </c>
      <c r="Q25" s="24">
        <v>46276.0</v>
      </c>
      <c r="R25" s="14" t="s">
        <v>676</v>
      </c>
    </row>
    <row r="26">
      <c r="A26" s="14" t="s">
        <v>944</v>
      </c>
      <c r="B26" s="24">
        <v>46276.0</v>
      </c>
      <c r="C26" s="13">
        <v>46276.66</v>
      </c>
      <c r="D26" s="14" t="s">
        <v>662</v>
      </c>
      <c r="E26" s="14" t="s">
        <v>825</v>
      </c>
      <c r="F26" s="14" t="s">
        <v>111</v>
      </c>
      <c r="G26" s="14" t="s">
        <v>824</v>
      </c>
      <c r="H26" s="14" t="s">
        <v>115</v>
      </c>
      <c r="I26" s="14" t="s">
        <v>313</v>
      </c>
      <c r="J26" s="14" t="s">
        <v>13</v>
      </c>
      <c r="K26" s="14">
        <v>50.0</v>
      </c>
      <c r="L26" s="14" t="s">
        <v>359</v>
      </c>
      <c r="M26" s="14">
        <v>20.0</v>
      </c>
      <c r="N26" s="14">
        <v>1000.0</v>
      </c>
      <c r="O26" s="14" t="s">
        <v>673</v>
      </c>
      <c r="P26" s="14" t="s">
        <v>674</v>
      </c>
      <c r="Q26" s="24">
        <v>46276.0</v>
      </c>
      <c r="R26" s="14" t="s">
        <v>676</v>
      </c>
    </row>
    <row r="27">
      <c r="A27" s="14" t="s">
        <v>957</v>
      </c>
      <c r="B27" s="24">
        <v>46276.0</v>
      </c>
      <c r="C27" s="13">
        <v>46276.660092592596</v>
      </c>
      <c r="D27" s="14" t="s">
        <v>662</v>
      </c>
      <c r="E27" s="14" t="s">
        <v>888</v>
      </c>
      <c r="F27" s="14" t="s">
        <v>111</v>
      </c>
      <c r="G27" s="14" t="s">
        <v>885</v>
      </c>
      <c r="H27" s="14" t="s">
        <v>115</v>
      </c>
      <c r="I27" s="14" t="s">
        <v>172</v>
      </c>
      <c r="J27" s="14" t="s">
        <v>13</v>
      </c>
      <c r="K27" s="14">
        <v>10.0</v>
      </c>
      <c r="L27" s="14" t="s">
        <v>791</v>
      </c>
      <c r="M27" s="14">
        <v>45.0</v>
      </c>
      <c r="N27" s="14">
        <v>450.0</v>
      </c>
      <c r="O27" s="14" t="s">
        <v>673</v>
      </c>
      <c r="P27" s="14" t="s">
        <v>674</v>
      </c>
      <c r="Q27" s="24">
        <v>46276.0</v>
      </c>
      <c r="R27" s="14" t="s">
        <v>676</v>
      </c>
    </row>
    <row r="28">
      <c r="A28" s="14" t="s">
        <v>969</v>
      </c>
      <c r="B28" s="24">
        <v>46276.0</v>
      </c>
      <c r="C28" s="13">
        <v>46276.66028935185</v>
      </c>
      <c r="D28" s="14" t="s">
        <v>662</v>
      </c>
      <c r="E28" s="14" t="s">
        <v>973</v>
      </c>
      <c r="F28" s="14" t="s">
        <v>111</v>
      </c>
      <c r="G28" s="14" t="s">
        <v>976</v>
      </c>
      <c r="H28" s="14" t="s">
        <v>115</v>
      </c>
      <c r="I28" s="14" t="s">
        <v>642</v>
      </c>
      <c r="J28" s="14" t="s">
        <v>13</v>
      </c>
      <c r="K28" s="14">
        <v>20.0</v>
      </c>
      <c r="L28" s="14" t="s">
        <v>359</v>
      </c>
      <c r="M28" s="14">
        <v>26.0</v>
      </c>
      <c r="N28" s="14">
        <v>520.0</v>
      </c>
      <c r="O28" s="14" t="s">
        <v>673</v>
      </c>
      <c r="P28" s="14" t="s">
        <v>674</v>
      </c>
      <c r="Q28" s="24">
        <v>46276.0</v>
      </c>
      <c r="R28" s="14" t="s">
        <v>676</v>
      </c>
    </row>
    <row r="29">
      <c r="A29" s="14" t="s">
        <v>985</v>
      </c>
      <c r="B29" s="24">
        <v>46276.0</v>
      </c>
      <c r="C29" s="13">
        <v>46276.66019675926</v>
      </c>
      <c r="D29" s="14" t="s">
        <v>662</v>
      </c>
      <c r="E29" s="14" t="s">
        <v>841</v>
      </c>
      <c r="F29" s="14" t="s">
        <v>111</v>
      </c>
      <c r="G29" s="14" t="s">
        <v>839</v>
      </c>
      <c r="H29" s="14" t="s">
        <v>115</v>
      </c>
      <c r="I29" s="14" t="s">
        <v>177</v>
      </c>
      <c r="J29" s="14" t="s">
        <v>13</v>
      </c>
      <c r="K29" s="14">
        <v>10.0</v>
      </c>
      <c r="L29" s="14" t="s">
        <v>989</v>
      </c>
      <c r="M29" s="14">
        <v>40.0</v>
      </c>
      <c r="N29" s="14">
        <v>400.0</v>
      </c>
      <c r="O29" s="14" t="s">
        <v>673</v>
      </c>
      <c r="P29" s="14" t="s">
        <v>674</v>
      </c>
      <c r="Q29" s="24">
        <v>46276.0</v>
      </c>
      <c r="R29" s="14" t="s">
        <v>676</v>
      </c>
    </row>
    <row r="30">
      <c r="A30" s="14" t="s">
        <v>993</v>
      </c>
      <c r="B30" s="24">
        <v>46276.0</v>
      </c>
      <c r="C30" s="13">
        <v>46276.660474537035</v>
      </c>
      <c r="D30" s="14" t="s">
        <v>662</v>
      </c>
      <c r="E30" s="14" t="s">
        <v>880</v>
      </c>
      <c r="F30" s="14" t="s">
        <v>111</v>
      </c>
      <c r="G30" s="14" t="s">
        <v>879</v>
      </c>
      <c r="H30" s="14" t="s">
        <v>115</v>
      </c>
      <c r="I30" s="14" t="s">
        <v>153</v>
      </c>
      <c r="J30" s="14" t="s">
        <v>13</v>
      </c>
      <c r="K30" s="14">
        <v>10.0</v>
      </c>
      <c r="L30" s="14" t="s">
        <v>359</v>
      </c>
      <c r="M30" s="14">
        <v>20.0</v>
      </c>
      <c r="N30" s="14">
        <v>200.0</v>
      </c>
      <c r="O30" s="14" t="s">
        <v>673</v>
      </c>
      <c r="P30" s="14" t="s">
        <v>674</v>
      </c>
      <c r="Q30" s="24">
        <v>46276.0</v>
      </c>
      <c r="R30" s="14" t="s">
        <v>676</v>
      </c>
    </row>
    <row r="31">
      <c r="A31" s="14" t="s">
        <v>997</v>
      </c>
      <c r="B31" s="24">
        <v>46276.0</v>
      </c>
      <c r="C31" s="13">
        <v>46276.66059027778</v>
      </c>
      <c r="D31" s="14" t="s">
        <v>662</v>
      </c>
      <c r="E31" s="14" t="s">
        <v>999</v>
      </c>
      <c r="F31" s="14" t="s">
        <v>111</v>
      </c>
      <c r="G31" s="14" t="s">
        <v>1000</v>
      </c>
      <c r="H31" s="14" t="s">
        <v>115</v>
      </c>
      <c r="I31" s="14" t="s">
        <v>651</v>
      </c>
      <c r="J31" s="14" t="s">
        <v>13</v>
      </c>
      <c r="K31" s="14">
        <v>20.0</v>
      </c>
      <c r="L31" s="14" t="s">
        <v>359</v>
      </c>
      <c r="M31" s="14">
        <v>20.0</v>
      </c>
      <c r="N31" s="14">
        <v>400.0</v>
      </c>
      <c r="O31" s="14" t="s">
        <v>673</v>
      </c>
      <c r="P31" s="14" t="s">
        <v>674</v>
      </c>
      <c r="Q31" s="24">
        <v>46276.0</v>
      </c>
      <c r="R31" s="14" t="s">
        <v>676</v>
      </c>
    </row>
    <row r="32">
      <c r="A32" s="14" t="s">
        <v>1003</v>
      </c>
      <c r="B32" s="24">
        <v>46276.0</v>
      </c>
      <c r="C32" s="13">
        <v>46276.66070601852</v>
      </c>
      <c r="D32" s="14" t="s">
        <v>662</v>
      </c>
      <c r="E32" s="14" t="s">
        <v>847</v>
      </c>
      <c r="F32" s="14" t="s">
        <v>111</v>
      </c>
      <c r="G32" s="14" t="s">
        <v>846</v>
      </c>
      <c r="H32" s="14" t="s">
        <v>115</v>
      </c>
      <c r="I32" s="14" t="s">
        <v>463</v>
      </c>
      <c r="J32" s="14" t="s">
        <v>1007</v>
      </c>
      <c r="K32" s="14">
        <v>10.0</v>
      </c>
      <c r="L32" s="14" t="s">
        <v>818</v>
      </c>
      <c r="M32" s="14">
        <v>20.0</v>
      </c>
      <c r="N32" s="14">
        <v>200.0</v>
      </c>
      <c r="O32" s="14" t="s">
        <v>673</v>
      </c>
      <c r="P32" s="14" t="s">
        <v>674</v>
      </c>
      <c r="Q32" s="24">
        <v>46276.0</v>
      </c>
      <c r="R32" s="14" t="s">
        <v>676</v>
      </c>
    </row>
    <row r="33">
      <c r="A33" s="14" t="s">
        <v>1009</v>
      </c>
      <c r="B33" s="24">
        <v>46276.0</v>
      </c>
      <c r="C33" s="13">
        <v>46276.660787037035</v>
      </c>
      <c r="D33" s="14" t="s">
        <v>662</v>
      </c>
      <c r="E33" s="14" t="s">
        <v>1011</v>
      </c>
      <c r="F33" s="14" t="s">
        <v>111</v>
      </c>
      <c r="G33" s="14" t="s">
        <v>1014</v>
      </c>
      <c r="H33" s="14" t="s">
        <v>115</v>
      </c>
      <c r="I33" s="14" t="s">
        <v>518</v>
      </c>
      <c r="J33" s="14" t="s">
        <v>1007</v>
      </c>
      <c r="K33" s="14">
        <v>20.0</v>
      </c>
      <c r="L33" s="14" t="s">
        <v>818</v>
      </c>
      <c r="M33" s="14">
        <v>20.0</v>
      </c>
      <c r="N33" s="14">
        <v>400.0</v>
      </c>
      <c r="O33" s="14" t="s">
        <v>673</v>
      </c>
      <c r="P33" s="14" t="s">
        <v>674</v>
      </c>
      <c r="Q33" s="24">
        <v>46276.0</v>
      </c>
      <c r="R33" s="14" t="s">
        <v>676</v>
      </c>
    </row>
    <row r="34">
      <c r="A34" s="14" t="s">
        <v>1018</v>
      </c>
      <c r="B34" s="24">
        <v>46276.0</v>
      </c>
      <c r="C34" s="13">
        <v>46276.66087962963</v>
      </c>
      <c r="D34" s="14" t="s">
        <v>662</v>
      </c>
      <c r="E34" s="14" t="s">
        <v>1019</v>
      </c>
      <c r="F34" s="14" t="s">
        <v>111</v>
      </c>
      <c r="G34" s="14" t="s">
        <v>1020</v>
      </c>
      <c r="H34" s="14" t="s">
        <v>115</v>
      </c>
      <c r="I34" s="14" t="s">
        <v>511</v>
      </c>
      <c r="J34" s="14" t="s">
        <v>1007</v>
      </c>
      <c r="K34" s="14">
        <v>10.0</v>
      </c>
      <c r="L34" s="14" t="s">
        <v>818</v>
      </c>
      <c r="M34" s="14">
        <v>10.0</v>
      </c>
      <c r="N34" s="14">
        <v>100.0</v>
      </c>
      <c r="O34" s="14" t="s">
        <v>673</v>
      </c>
      <c r="P34" s="14" t="s">
        <v>674</v>
      </c>
      <c r="Q34" s="24">
        <v>46276.0</v>
      </c>
      <c r="R34" s="14" t="s">
        <v>676</v>
      </c>
    </row>
    <row r="35">
      <c r="A35" s="14" t="s">
        <v>1023</v>
      </c>
      <c r="B35" s="24">
        <v>46276.0</v>
      </c>
      <c r="C35" s="13">
        <v>46276.66096064815</v>
      </c>
      <c r="D35" s="14" t="s">
        <v>662</v>
      </c>
      <c r="E35" s="14" t="s">
        <v>923</v>
      </c>
      <c r="F35" s="14" t="s">
        <v>111</v>
      </c>
      <c r="G35" s="14" t="s">
        <v>920</v>
      </c>
      <c r="H35" s="14" t="s">
        <v>115</v>
      </c>
      <c r="I35" s="14" t="s">
        <v>501</v>
      </c>
      <c r="J35" s="14" t="s">
        <v>1007</v>
      </c>
      <c r="K35" s="14">
        <v>30.0</v>
      </c>
      <c r="L35" s="14" t="s">
        <v>818</v>
      </c>
      <c r="M35" s="14">
        <v>24.0</v>
      </c>
      <c r="N35" s="14">
        <v>720.0</v>
      </c>
      <c r="O35" s="14" t="s">
        <v>673</v>
      </c>
      <c r="P35" s="14" t="s">
        <v>674</v>
      </c>
      <c r="Q35" s="24">
        <v>46276.0</v>
      </c>
      <c r="R35" s="14" t="s">
        <v>676</v>
      </c>
    </row>
    <row r="36">
      <c r="A36" s="14" t="s">
        <v>1024</v>
      </c>
      <c r="B36" s="24">
        <v>46276.0</v>
      </c>
      <c r="C36" s="13">
        <v>46276.66107638889</v>
      </c>
      <c r="D36" s="14" t="s">
        <v>662</v>
      </c>
      <c r="E36" s="14" t="s">
        <v>1022</v>
      </c>
      <c r="F36" s="14" t="s">
        <v>111</v>
      </c>
      <c r="G36" s="14" t="s">
        <v>1021</v>
      </c>
      <c r="H36" s="14" t="s">
        <v>115</v>
      </c>
      <c r="I36" s="14" t="s">
        <v>669</v>
      </c>
      <c r="J36" s="14" t="s">
        <v>1007</v>
      </c>
      <c r="K36" s="14">
        <v>10.0</v>
      </c>
      <c r="L36" s="14" t="s">
        <v>818</v>
      </c>
      <c r="M36" s="14">
        <v>12.0</v>
      </c>
      <c r="N36" s="14">
        <v>120.0</v>
      </c>
      <c r="O36" s="14" t="s">
        <v>673</v>
      </c>
      <c r="P36" s="14" t="s">
        <v>674</v>
      </c>
      <c r="Q36" s="24">
        <v>46276.0</v>
      </c>
      <c r="R36" s="14" t="s">
        <v>676</v>
      </c>
    </row>
    <row r="37">
      <c r="A37" s="14" t="s">
        <v>1026</v>
      </c>
      <c r="B37" s="24">
        <v>46276.0</v>
      </c>
      <c r="C37" s="13">
        <v>46276.66135416667</v>
      </c>
      <c r="D37" s="14" t="s">
        <v>662</v>
      </c>
      <c r="E37" s="14" t="s">
        <v>1015</v>
      </c>
      <c r="F37" s="14" t="s">
        <v>111</v>
      </c>
      <c r="G37" s="14" t="s">
        <v>1012</v>
      </c>
      <c r="H37" s="14" t="s">
        <v>115</v>
      </c>
      <c r="I37" s="14" t="s">
        <v>682</v>
      </c>
      <c r="J37" s="14" t="s">
        <v>1007</v>
      </c>
      <c r="K37" s="14">
        <v>10.0</v>
      </c>
      <c r="L37" s="14" t="s">
        <v>818</v>
      </c>
      <c r="M37" s="14">
        <v>10.0</v>
      </c>
      <c r="N37" s="14">
        <v>100.0</v>
      </c>
      <c r="O37" s="14" t="s">
        <v>673</v>
      </c>
      <c r="P37" s="14" t="s">
        <v>674</v>
      </c>
      <c r="Q37" s="24">
        <v>46276.0</v>
      </c>
      <c r="R37" s="14" t="s">
        <v>676</v>
      </c>
    </row>
    <row r="38">
      <c r="A38" s="14" t="s">
        <v>1028</v>
      </c>
      <c r="B38" s="24">
        <v>46276.0</v>
      </c>
      <c r="C38" s="13">
        <v>46276.66143518518</v>
      </c>
      <c r="D38" s="14" t="s">
        <v>662</v>
      </c>
      <c r="E38" s="14" t="s">
        <v>908</v>
      </c>
      <c r="F38" s="14" t="s">
        <v>111</v>
      </c>
      <c r="G38" s="14" t="s">
        <v>904</v>
      </c>
      <c r="H38" s="14" t="s">
        <v>115</v>
      </c>
      <c r="I38" s="14" t="s">
        <v>495</v>
      </c>
      <c r="J38" s="14" t="s">
        <v>1007</v>
      </c>
      <c r="K38" s="14">
        <v>20.0</v>
      </c>
      <c r="L38" s="14" t="s">
        <v>818</v>
      </c>
      <c r="M38" s="14">
        <v>10.0</v>
      </c>
      <c r="N38" s="14">
        <v>200.0</v>
      </c>
      <c r="O38" s="14" t="s">
        <v>673</v>
      </c>
      <c r="P38" s="14" t="s">
        <v>674</v>
      </c>
      <c r="Q38" s="24">
        <v>46276.0</v>
      </c>
      <c r="R38" s="14" t="s">
        <v>676</v>
      </c>
    </row>
    <row r="39">
      <c r="A39" s="14" t="s">
        <v>1031</v>
      </c>
      <c r="B39" s="24">
        <v>46276.0</v>
      </c>
      <c r="C39" s="13">
        <v>46276.66153935185</v>
      </c>
      <c r="D39" s="14" t="s">
        <v>662</v>
      </c>
      <c r="E39" s="14" t="s">
        <v>870</v>
      </c>
      <c r="F39" s="14" t="s">
        <v>111</v>
      </c>
      <c r="G39" s="14" t="s">
        <v>868</v>
      </c>
      <c r="H39" s="14" t="s">
        <v>115</v>
      </c>
      <c r="I39" s="14" t="s">
        <v>483</v>
      </c>
      <c r="J39" s="14" t="s">
        <v>1007</v>
      </c>
      <c r="K39" s="14">
        <v>30.0</v>
      </c>
      <c r="L39" s="14" t="s">
        <v>818</v>
      </c>
      <c r="M39" s="14">
        <v>18.0</v>
      </c>
      <c r="N39" s="14">
        <v>540.0</v>
      </c>
      <c r="O39" s="14" t="s">
        <v>673</v>
      </c>
      <c r="P39" s="14" t="s">
        <v>674</v>
      </c>
      <c r="Q39" s="24">
        <v>46276.0</v>
      </c>
      <c r="R39" s="14" t="s">
        <v>676</v>
      </c>
    </row>
    <row r="40">
      <c r="A40" s="14" t="s">
        <v>1039</v>
      </c>
      <c r="B40" s="24">
        <v>46276.0</v>
      </c>
      <c r="C40" s="13">
        <v>46276.66173611111</v>
      </c>
      <c r="D40" s="14" t="s">
        <v>662</v>
      </c>
      <c r="E40" s="14" t="s">
        <v>983</v>
      </c>
      <c r="F40" s="14" t="s">
        <v>111</v>
      </c>
      <c r="G40" s="14" t="s">
        <v>979</v>
      </c>
      <c r="H40" s="14" t="s">
        <v>115</v>
      </c>
      <c r="I40" s="14" t="s">
        <v>390</v>
      </c>
      <c r="J40" s="14" t="s">
        <v>362</v>
      </c>
      <c r="K40" s="14">
        <v>10.0</v>
      </c>
      <c r="L40" s="14" t="s">
        <v>791</v>
      </c>
      <c r="M40" s="14">
        <v>20.0</v>
      </c>
      <c r="N40" s="14">
        <v>200.0</v>
      </c>
      <c r="O40" s="14" t="s">
        <v>673</v>
      </c>
      <c r="P40" s="14" t="s">
        <v>674</v>
      </c>
      <c r="Q40" s="24">
        <v>46276.0</v>
      </c>
      <c r="R40" s="14" t="s">
        <v>676</v>
      </c>
    </row>
    <row r="41">
      <c r="A41" s="14" t="s">
        <v>1041</v>
      </c>
      <c r="B41" s="24">
        <v>46276.0</v>
      </c>
      <c r="C41" s="13">
        <v>46276.661828703705</v>
      </c>
      <c r="D41" s="14" t="s">
        <v>662</v>
      </c>
      <c r="E41" s="14" t="s">
        <v>1005</v>
      </c>
      <c r="F41" s="14" t="s">
        <v>111</v>
      </c>
      <c r="G41" s="14" t="s">
        <v>1004</v>
      </c>
      <c r="H41" s="14" t="s">
        <v>115</v>
      </c>
      <c r="I41" s="14" t="s">
        <v>403</v>
      </c>
      <c r="J41" s="14" t="s">
        <v>362</v>
      </c>
      <c r="K41" s="14">
        <v>10.0</v>
      </c>
      <c r="L41" s="14" t="s">
        <v>791</v>
      </c>
      <c r="M41" s="14">
        <v>15.0</v>
      </c>
      <c r="N41" s="14">
        <v>150.0</v>
      </c>
      <c r="O41" s="14" t="s">
        <v>673</v>
      </c>
      <c r="P41" s="14" t="s">
        <v>674</v>
      </c>
      <c r="Q41" s="24">
        <v>46276.0</v>
      </c>
      <c r="R41" s="14" t="s">
        <v>676</v>
      </c>
    </row>
    <row r="42">
      <c r="A42" s="14" t="s">
        <v>1045</v>
      </c>
      <c r="B42" s="24">
        <v>46276.0</v>
      </c>
      <c r="C42" s="13">
        <v>46276.66190972222</v>
      </c>
      <c r="D42" s="14" t="s">
        <v>662</v>
      </c>
      <c r="E42" s="14" t="s">
        <v>990</v>
      </c>
      <c r="F42" s="14" t="s">
        <v>111</v>
      </c>
      <c r="G42" s="14" t="s">
        <v>988</v>
      </c>
      <c r="H42" s="14" t="s">
        <v>115</v>
      </c>
      <c r="I42" s="14" t="s">
        <v>433</v>
      </c>
      <c r="J42" s="14" t="s">
        <v>362</v>
      </c>
      <c r="K42" s="14">
        <v>10.0</v>
      </c>
      <c r="L42" s="14" t="s">
        <v>791</v>
      </c>
      <c r="M42" s="14">
        <v>5.0</v>
      </c>
      <c r="N42" s="14">
        <v>50.0</v>
      </c>
      <c r="O42" s="14" t="s">
        <v>673</v>
      </c>
      <c r="P42" s="14" t="s">
        <v>674</v>
      </c>
      <c r="Q42" s="24">
        <v>46276.0</v>
      </c>
      <c r="R42" s="14" t="s">
        <v>676</v>
      </c>
    </row>
    <row r="43">
      <c r="A43" s="14" t="s">
        <v>1051</v>
      </c>
      <c r="B43" s="24">
        <v>46276.0</v>
      </c>
      <c r="C43" s="13">
        <v>46276.66197916667</v>
      </c>
      <c r="D43" s="14" t="s">
        <v>662</v>
      </c>
      <c r="E43" s="14" t="s">
        <v>1052</v>
      </c>
      <c r="F43" s="14" t="s">
        <v>111</v>
      </c>
      <c r="G43" s="14" t="s">
        <v>1054</v>
      </c>
      <c r="H43" s="14" t="s">
        <v>115</v>
      </c>
      <c r="I43" s="14" t="s">
        <v>550</v>
      </c>
      <c r="J43" s="14" t="s">
        <v>430</v>
      </c>
      <c r="K43" s="14">
        <v>10.0</v>
      </c>
      <c r="L43" s="14" t="s">
        <v>818</v>
      </c>
      <c r="M43" s="14">
        <v>1.0</v>
      </c>
      <c r="N43" s="14">
        <v>10.0</v>
      </c>
      <c r="O43" s="14" t="s">
        <v>673</v>
      </c>
      <c r="P43" s="14" t="s">
        <v>674</v>
      </c>
      <c r="Q43" s="24">
        <v>46276.0</v>
      </c>
      <c r="R43" s="14" t="s">
        <v>676</v>
      </c>
    </row>
    <row r="44">
      <c r="A44" s="14" t="s">
        <v>1057</v>
      </c>
      <c r="B44" s="24">
        <v>46276.0</v>
      </c>
      <c r="C44" s="13">
        <v>46276.66207175926</v>
      </c>
      <c r="D44" s="14" t="s">
        <v>662</v>
      </c>
      <c r="E44" s="14" t="s">
        <v>858</v>
      </c>
      <c r="F44" s="14" t="s">
        <v>111</v>
      </c>
      <c r="G44" s="14" t="s">
        <v>855</v>
      </c>
      <c r="H44" s="14" t="s">
        <v>115</v>
      </c>
      <c r="I44" s="14" t="s">
        <v>471</v>
      </c>
      <c r="J44" s="14" t="s">
        <v>430</v>
      </c>
      <c r="K44" s="14">
        <v>10.0</v>
      </c>
      <c r="L44" s="14" t="s">
        <v>818</v>
      </c>
      <c r="M44" s="14">
        <v>1.0</v>
      </c>
      <c r="N44" s="14">
        <v>10.0</v>
      </c>
      <c r="O44" s="14" t="s">
        <v>673</v>
      </c>
      <c r="P44" s="14" t="s">
        <v>674</v>
      </c>
      <c r="Q44" s="24">
        <v>46276.0</v>
      </c>
      <c r="R44" s="14" t="s">
        <v>676</v>
      </c>
    </row>
    <row r="45">
      <c r="A45" s="14" t="s">
        <v>1060</v>
      </c>
      <c r="B45" s="24">
        <v>46276.0</v>
      </c>
      <c r="C45" s="13">
        <v>46276.66226851852</v>
      </c>
      <c r="D45" s="14" t="s">
        <v>662</v>
      </c>
      <c r="E45" s="14" t="s">
        <v>1061</v>
      </c>
      <c r="F45" s="14" t="s">
        <v>111</v>
      </c>
      <c r="G45" s="14" t="s">
        <v>1062</v>
      </c>
      <c r="H45" s="14" t="s">
        <v>115</v>
      </c>
      <c r="I45" s="14" t="s">
        <v>533</v>
      </c>
      <c r="J45" s="14" t="s">
        <v>430</v>
      </c>
      <c r="K45" s="14">
        <v>10.0</v>
      </c>
      <c r="L45" s="14" t="s">
        <v>818</v>
      </c>
      <c r="M45" s="14">
        <v>1.0</v>
      </c>
      <c r="N45" s="14">
        <v>10.0</v>
      </c>
      <c r="O45" s="14" t="s">
        <v>673</v>
      </c>
      <c r="P45" s="14" t="s">
        <v>674</v>
      </c>
      <c r="Q45" s="24">
        <v>46276.0</v>
      </c>
      <c r="R45" s="14" t="s">
        <v>676</v>
      </c>
    </row>
    <row r="46">
      <c r="A46" s="14" t="s">
        <v>1065</v>
      </c>
      <c r="B46" s="24">
        <v>46276.0</v>
      </c>
      <c r="C46" s="13">
        <v>46276.66216435185</v>
      </c>
      <c r="D46" s="14" t="s">
        <v>662</v>
      </c>
      <c r="E46" s="14" t="s">
        <v>1066</v>
      </c>
      <c r="F46" s="14" t="s">
        <v>111</v>
      </c>
      <c r="G46" s="14" t="s">
        <v>1064</v>
      </c>
      <c r="H46" s="14" t="s">
        <v>115</v>
      </c>
      <c r="I46" s="30" t="s">
        <v>597</v>
      </c>
      <c r="J46" s="14" t="s">
        <v>430</v>
      </c>
      <c r="K46" s="14">
        <v>10.0</v>
      </c>
      <c r="L46" s="14" t="s">
        <v>818</v>
      </c>
      <c r="M46" s="14">
        <v>1.0</v>
      </c>
      <c r="N46" s="14">
        <v>10.0</v>
      </c>
      <c r="O46" s="14" t="s">
        <v>673</v>
      </c>
      <c r="P46" s="14" t="s">
        <v>674</v>
      </c>
      <c r="Q46" s="24">
        <v>46276.0</v>
      </c>
      <c r="R46" s="14" t="s">
        <v>676</v>
      </c>
    </row>
    <row r="47">
      <c r="A47" s="14" t="s">
        <v>1068</v>
      </c>
      <c r="B47" s="24">
        <v>46276.0</v>
      </c>
      <c r="C47" s="13">
        <v>46276.66236111111</v>
      </c>
      <c r="D47" s="14" t="s">
        <v>662</v>
      </c>
      <c r="E47" s="14" t="s">
        <v>1072</v>
      </c>
      <c r="F47" s="14" t="s">
        <v>111</v>
      </c>
      <c r="G47" s="14" t="s">
        <v>1074</v>
      </c>
      <c r="H47" s="14" t="s">
        <v>115</v>
      </c>
      <c r="I47" s="14" t="s">
        <v>539</v>
      </c>
      <c r="J47" s="14" t="s">
        <v>430</v>
      </c>
      <c r="K47" s="14">
        <v>10.0</v>
      </c>
      <c r="L47" s="14" t="s">
        <v>818</v>
      </c>
      <c r="M47" s="14">
        <v>1.0</v>
      </c>
      <c r="N47" s="14">
        <v>10.0</v>
      </c>
      <c r="O47" s="14" t="s">
        <v>673</v>
      </c>
      <c r="P47" s="14" t="s">
        <v>674</v>
      </c>
      <c r="Q47" s="24">
        <v>46276.0</v>
      </c>
      <c r="R47" s="14" t="s">
        <v>676</v>
      </c>
    </row>
    <row r="48">
      <c r="A48" s="14" t="s">
        <v>1076</v>
      </c>
      <c r="B48" s="24">
        <v>46276.0</v>
      </c>
      <c r="C48" s="13">
        <v>46276.66244212963</v>
      </c>
      <c r="D48" s="14" t="s">
        <v>662</v>
      </c>
      <c r="E48" s="14" t="s">
        <v>1078</v>
      </c>
      <c r="F48" s="14" t="s">
        <v>111</v>
      </c>
      <c r="G48" s="14" t="s">
        <v>1081</v>
      </c>
      <c r="H48" s="14" t="s">
        <v>115</v>
      </c>
      <c r="I48" s="14" t="s">
        <v>557</v>
      </c>
      <c r="J48" s="14" t="s">
        <v>430</v>
      </c>
      <c r="K48" s="14">
        <v>10.0</v>
      </c>
      <c r="L48" s="14" t="s">
        <v>818</v>
      </c>
      <c r="M48" s="14">
        <v>1.0</v>
      </c>
      <c r="N48" s="14">
        <v>10.0</v>
      </c>
      <c r="O48" s="14" t="s">
        <v>673</v>
      </c>
      <c r="P48" s="14" t="s">
        <v>674</v>
      </c>
      <c r="Q48" s="24">
        <v>46276.0</v>
      </c>
      <c r="R48" s="14" t="s">
        <v>676</v>
      </c>
    </row>
    <row r="49">
      <c r="A49" s="14" t="s">
        <v>1083</v>
      </c>
      <c r="B49" s="24">
        <v>46276.0</v>
      </c>
      <c r="C49" s="13">
        <v>46276.662511574075</v>
      </c>
      <c r="D49" s="14" t="s">
        <v>662</v>
      </c>
      <c r="E49" s="14" t="s">
        <v>1036</v>
      </c>
      <c r="F49" s="14" t="s">
        <v>111</v>
      </c>
      <c r="G49" s="14" t="s">
        <v>1034</v>
      </c>
      <c r="H49" s="14" t="s">
        <v>115</v>
      </c>
      <c r="I49" s="30" t="s">
        <v>1038</v>
      </c>
      <c r="J49" s="14" t="s">
        <v>430</v>
      </c>
      <c r="K49" s="14">
        <v>10.0</v>
      </c>
      <c r="L49" s="14" t="s">
        <v>818</v>
      </c>
      <c r="M49" s="14">
        <v>1.0</v>
      </c>
      <c r="N49" s="14">
        <v>10.0</v>
      </c>
      <c r="O49" s="14" t="s">
        <v>673</v>
      </c>
      <c r="P49" s="14" t="s">
        <v>674</v>
      </c>
      <c r="Q49" s="24">
        <v>46276.0</v>
      </c>
      <c r="R49" s="14" t="s">
        <v>676</v>
      </c>
    </row>
    <row r="50">
      <c r="A50" s="14" t="s">
        <v>1089</v>
      </c>
      <c r="B50" s="24">
        <v>46276.0</v>
      </c>
      <c r="C50" s="13">
        <v>46276.66258101852</v>
      </c>
      <c r="D50" s="14" t="s">
        <v>662</v>
      </c>
      <c r="E50" s="14" t="s">
        <v>1056</v>
      </c>
      <c r="F50" s="14" t="s">
        <v>111</v>
      </c>
      <c r="G50" s="14" t="s">
        <v>1055</v>
      </c>
      <c r="H50" s="14" t="s">
        <v>115</v>
      </c>
      <c r="I50" s="14" t="s">
        <v>613</v>
      </c>
      <c r="J50" s="14" t="s">
        <v>430</v>
      </c>
      <c r="K50" s="14">
        <v>10.0</v>
      </c>
      <c r="L50" s="14" t="s">
        <v>818</v>
      </c>
      <c r="M50" s="14">
        <v>6.0</v>
      </c>
      <c r="N50" s="14">
        <v>60.0</v>
      </c>
      <c r="O50" s="14" t="s">
        <v>673</v>
      </c>
      <c r="P50" s="14" t="s">
        <v>674</v>
      </c>
      <c r="Q50" s="24">
        <v>46276.0</v>
      </c>
      <c r="R50" s="14" t="s">
        <v>676</v>
      </c>
    </row>
    <row r="51">
      <c r="A51" s="14" t="s">
        <v>1095</v>
      </c>
      <c r="B51" s="24">
        <v>46276.0</v>
      </c>
      <c r="C51" s="13">
        <v>46276.66274305555</v>
      </c>
      <c r="D51" s="14" t="s">
        <v>662</v>
      </c>
      <c r="E51" s="14" t="s">
        <v>1042</v>
      </c>
      <c r="F51" s="14" t="s">
        <v>111</v>
      </c>
      <c r="G51" s="14" t="s">
        <v>1040</v>
      </c>
      <c r="H51" s="14" t="s">
        <v>115</v>
      </c>
      <c r="I51" s="14" t="s">
        <v>624</v>
      </c>
      <c r="J51" s="14" t="s">
        <v>430</v>
      </c>
      <c r="K51" s="14">
        <v>10.0</v>
      </c>
      <c r="L51" s="14" t="s">
        <v>818</v>
      </c>
      <c r="M51" s="14">
        <v>1.0</v>
      </c>
      <c r="N51" s="14">
        <v>10.0</v>
      </c>
      <c r="O51" s="14" t="s">
        <v>673</v>
      </c>
      <c r="P51" s="14" t="s">
        <v>674</v>
      </c>
      <c r="Q51" s="24">
        <v>46276.0</v>
      </c>
      <c r="R51" s="14" t="s">
        <v>676</v>
      </c>
    </row>
    <row r="52">
      <c r="A52" s="14" t="s">
        <v>1100</v>
      </c>
      <c r="B52" s="24">
        <v>46276.0</v>
      </c>
      <c r="C52" s="13">
        <v>46276.662986111114</v>
      </c>
      <c r="D52" s="14" t="s">
        <v>662</v>
      </c>
      <c r="E52" s="14" t="s">
        <v>1096</v>
      </c>
      <c r="F52" s="14" t="s">
        <v>111</v>
      </c>
      <c r="G52" s="14" t="s">
        <v>1093</v>
      </c>
      <c r="H52" s="14" t="s">
        <v>115</v>
      </c>
      <c r="I52" s="14" t="s">
        <v>568</v>
      </c>
      <c r="J52" s="14" t="s">
        <v>430</v>
      </c>
      <c r="K52" s="14">
        <v>10.0</v>
      </c>
      <c r="L52" s="14" t="s">
        <v>818</v>
      </c>
      <c r="M52" s="14">
        <v>1.0</v>
      </c>
      <c r="N52" s="14">
        <v>10.0</v>
      </c>
      <c r="O52" s="14" t="s">
        <v>673</v>
      </c>
      <c r="P52" s="14" t="s">
        <v>674</v>
      </c>
      <c r="Q52" s="24">
        <v>46276.0</v>
      </c>
      <c r="R52" s="14" t="s">
        <v>676</v>
      </c>
    </row>
    <row r="53">
      <c r="A53" s="14" t="s">
        <v>1104</v>
      </c>
      <c r="B53" s="24">
        <v>46276.0</v>
      </c>
      <c r="C53" s="13">
        <v>46276.66305555555</v>
      </c>
      <c r="D53" s="14" t="s">
        <v>662</v>
      </c>
      <c r="E53" s="14" t="s">
        <v>1049</v>
      </c>
      <c r="F53" s="14" t="s">
        <v>111</v>
      </c>
      <c r="G53" s="14" t="s">
        <v>1046</v>
      </c>
      <c r="H53" s="14" t="s">
        <v>115</v>
      </c>
      <c r="I53" s="14" t="s">
        <v>618</v>
      </c>
      <c r="J53" s="14" t="s">
        <v>430</v>
      </c>
      <c r="K53" s="14">
        <v>10.0</v>
      </c>
      <c r="L53" s="14" t="s">
        <v>818</v>
      </c>
      <c r="M53" s="14">
        <v>9.0</v>
      </c>
      <c r="N53" s="14">
        <v>90.0</v>
      </c>
      <c r="O53" s="14" t="s">
        <v>673</v>
      </c>
      <c r="P53" s="14" t="s">
        <v>674</v>
      </c>
      <c r="Q53" s="24">
        <v>46276.0</v>
      </c>
      <c r="R53" s="14" t="s">
        <v>676</v>
      </c>
    </row>
    <row r="54">
      <c r="A54" s="14" t="s">
        <v>1109</v>
      </c>
      <c r="B54" s="24">
        <v>46276.0</v>
      </c>
      <c r="C54" s="13">
        <v>46276.663125</v>
      </c>
      <c r="D54" s="14" t="s">
        <v>662</v>
      </c>
      <c r="E54" s="14" t="s">
        <v>1082</v>
      </c>
      <c r="F54" s="14" t="s">
        <v>111</v>
      </c>
      <c r="G54" s="14" t="s">
        <v>1080</v>
      </c>
      <c r="H54" s="14" t="s">
        <v>115</v>
      </c>
      <c r="I54" s="14" t="s">
        <v>582</v>
      </c>
      <c r="J54" s="14" t="s">
        <v>430</v>
      </c>
      <c r="K54" s="14">
        <v>10.0</v>
      </c>
      <c r="L54" s="14" t="s">
        <v>818</v>
      </c>
      <c r="M54" s="14">
        <v>1.0</v>
      </c>
      <c r="N54" s="14">
        <v>10.0</v>
      </c>
      <c r="O54" s="14" t="s">
        <v>673</v>
      </c>
      <c r="P54" s="14" t="s">
        <v>674</v>
      </c>
      <c r="Q54" s="24">
        <v>46276.0</v>
      </c>
      <c r="R54" s="14" t="s">
        <v>676</v>
      </c>
    </row>
    <row r="55">
      <c r="A55" s="14" t="s">
        <v>1112</v>
      </c>
      <c r="B55" s="24">
        <v>46276.0</v>
      </c>
      <c r="C55" s="13">
        <v>46276.663194444445</v>
      </c>
      <c r="D55" s="14" t="s">
        <v>662</v>
      </c>
      <c r="E55" s="14" t="s">
        <v>1059</v>
      </c>
      <c r="F55" s="14" t="s">
        <v>111</v>
      </c>
      <c r="G55" s="14" t="s">
        <v>1058</v>
      </c>
      <c r="H55" s="14" t="s">
        <v>115</v>
      </c>
      <c r="I55" s="14" t="s">
        <v>606</v>
      </c>
      <c r="J55" s="14" t="s">
        <v>430</v>
      </c>
      <c r="K55" s="14">
        <v>10.0</v>
      </c>
      <c r="L55" s="14" t="s">
        <v>818</v>
      </c>
      <c r="M55" s="14">
        <v>1.0</v>
      </c>
      <c r="N55" s="14">
        <v>10.0</v>
      </c>
      <c r="O55" s="14" t="s">
        <v>673</v>
      </c>
      <c r="P55" s="14" t="s">
        <v>674</v>
      </c>
      <c r="Q55" s="24">
        <v>46276.0</v>
      </c>
      <c r="R55" s="14" t="s">
        <v>676</v>
      </c>
    </row>
    <row r="56">
      <c r="A56" s="14" t="s">
        <v>1119</v>
      </c>
      <c r="B56" s="24">
        <v>46276.0</v>
      </c>
      <c r="C56" s="13">
        <v>46276.663356481484</v>
      </c>
      <c r="D56" s="14" t="s">
        <v>662</v>
      </c>
      <c r="E56" s="14" t="s">
        <v>998</v>
      </c>
      <c r="F56" s="14" t="s">
        <v>111</v>
      </c>
      <c r="G56" s="14" t="s">
        <v>996</v>
      </c>
      <c r="H56" s="14" t="s">
        <v>115</v>
      </c>
      <c r="I56" s="14" t="s">
        <v>697</v>
      </c>
      <c r="J56" s="14" t="s">
        <v>430</v>
      </c>
      <c r="K56" s="14">
        <v>10.0</v>
      </c>
      <c r="L56" s="14" t="s">
        <v>818</v>
      </c>
      <c r="M56" s="14">
        <v>1.0</v>
      </c>
      <c r="N56" s="14">
        <v>10.0</v>
      </c>
      <c r="O56" s="14" t="s">
        <v>673</v>
      </c>
      <c r="P56" s="14" t="s">
        <v>674</v>
      </c>
      <c r="Q56" s="24">
        <v>46276.0</v>
      </c>
      <c r="R56" s="14" t="s">
        <v>676</v>
      </c>
    </row>
    <row r="57">
      <c r="A57" s="14" t="s">
        <v>1123</v>
      </c>
      <c r="B57" s="24">
        <v>46276.0</v>
      </c>
      <c r="C57" s="13">
        <v>46276.6634375</v>
      </c>
      <c r="D57" s="14" t="s">
        <v>662</v>
      </c>
      <c r="E57" s="14" t="s">
        <v>1116</v>
      </c>
      <c r="F57" s="14" t="s">
        <v>111</v>
      </c>
      <c r="G57" s="14" t="s">
        <v>1115</v>
      </c>
      <c r="H57" s="14" t="s">
        <v>115</v>
      </c>
      <c r="I57" s="14" t="s">
        <v>544</v>
      </c>
      <c r="J57" s="14" t="s">
        <v>430</v>
      </c>
      <c r="K57" s="14">
        <v>10.0</v>
      </c>
      <c r="L57" s="14" t="s">
        <v>818</v>
      </c>
      <c r="M57" s="14">
        <v>1.0</v>
      </c>
      <c r="N57" s="14">
        <v>10.0</v>
      </c>
      <c r="O57" s="14" t="s">
        <v>673</v>
      </c>
      <c r="P57" s="14" t="s">
        <v>674</v>
      </c>
      <c r="Q57" s="24">
        <v>46276.0</v>
      </c>
      <c r="R57" s="14" t="s">
        <v>676</v>
      </c>
    </row>
    <row r="58">
      <c r="A58" s="14" t="s">
        <v>1125</v>
      </c>
      <c r="B58" s="24">
        <v>46276.0</v>
      </c>
      <c r="C58" s="13">
        <v>46276.663518518515</v>
      </c>
      <c r="D58" s="14" t="s">
        <v>662</v>
      </c>
      <c r="E58" s="14" t="s">
        <v>1075</v>
      </c>
      <c r="F58" s="14" t="s">
        <v>111</v>
      </c>
      <c r="G58" s="14" t="s">
        <v>1073</v>
      </c>
      <c r="H58" s="14" t="s">
        <v>115</v>
      </c>
      <c r="I58" s="14" t="s">
        <v>589</v>
      </c>
      <c r="J58" s="14" t="s">
        <v>430</v>
      </c>
      <c r="K58" s="14">
        <v>10.0</v>
      </c>
      <c r="L58" s="14" t="s">
        <v>818</v>
      </c>
      <c r="M58" s="14">
        <v>1.0</v>
      </c>
      <c r="N58" s="14">
        <v>10.0</v>
      </c>
      <c r="O58" s="14" t="s">
        <v>673</v>
      </c>
      <c r="P58" s="14" t="s">
        <v>674</v>
      </c>
      <c r="Q58" s="24">
        <v>46276.0</v>
      </c>
      <c r="R58" s="14" t="s">
        <v>676</v>
      </c>
    </row>
    <row r="59">
      <c r="A59" s="14" t="s">
        <v>1128</v>
      </c>
      <c r="B59" s="24">
        <v>46276.0</v>
      </c>
      <c r="C59" s="13">
        <v>46276.66369212963</v>
      </c>
      <c r="D59" s="14" t="s">
        <v>662</v>
      </c>
      <c r="E59" s="14" t="s">
        <v>1101</v>
      </c>
      <c r="F59" s="14" t="s">
        <v>111</v>
      </c>
      <c r="G59" s="14" t="s">
        <v>1098</v>
      </c>
      <c r="H59" s="14" t="s">
        <v>115</v>
      </c>
      <c r="I59" s="14" t="s">
        <v>563</v>
      </c>
      <c r="J59" s="14" t="s">
        <v>430</v>
      </c>
      <c r="K59" s="14">
        <v>10.0</v>
      </c>
      <c r="L59" s="14" t="s">
        <v>818</v>
      </c>
      <c r="M59" s="14">
        <v>1.0</v>
      </c>
      <c r="N59" s="14">
        <v>10.0</v>
      </c>
      <c r="O59" s="14" t="s">
        <v>673</v>
      </c>
      <c r="P59" s="14" t="s">
        <v>674</v>
      </c>
      <c r="Q59" s="24">
        <v>46276.0</v>
      </c>
      <c r="R59" s="14" t="s">
        <v>676</v>
      </c>
    </row>
    <row r="60">
      <c r="A60" s="14" t="s">
        <v>1131</v>
      </c>
      <c r="B60" s="24">
        <v>46276.0</v>
      </c>
      <c r="C60" s="13">
        <v>46276.663622685184</v>
      </c>
      <c r="D60" s="14" t="s">
        <v>662</v>
      </c>
      <c r="E60" s="14" t="s">
        <v>1088</v>
      </c>
      <c r="F60" s="14" t="s">
        <v>111</v>
      </c>
      <c r="G60" s="14" t="s">
        <v>1086</v>
      </c>
      <c r="H60" s="14" t="s">
        <v>115</v>
      </c>
      <c r="I60" s="14" t="s">
        <v>575</v>
      </c>
      <c r="J60" s="14" t="s">
        <v>430</v>
      </c>
      <c r="K60" s="14">
        <v>10.0</v>
      </c>
      <c r="L60" s="14" t="s">
        <v>818</v>
      </c>
      <c r="M60" s="14">
        <v>1.0</v>
      </c>
      <c r="N60" s="14">
        <v>10.0</v>
      </c>
      <c r="O60" s="14" t="s">
        <v>673</v>
      </c>
      <c r="P60" s="14" t="s">
        <v>674</v>
      </c>
      <c r="Q60" s="24">
        <v>46276.0</v>
      </c>
      <c r="R60" s="14" t="s">
        <v>676</v>
      </c>
    </row>
    <row r="61">
      <c r="A61" s="14" t="s">
        <v>1136</v>
      </c>
      <c r="B61" s="24">
        <v>46276.0</v>
      </c>
      <c r="C61" s="13">
        <v>46276.66378472222</v>
      </c>
      <c r="D61" s="14" t="s">
        <v>662</v>
      </c>
      <c r="E61" s="14" t="s">
        <v>955</v>
      </c>
      <c r="F61" s="14" t="s">
        <v>111</v>
      </c>
      <c r="G61" s="14" t="s">
        <v>951</v>
      </c>
      <c r="H61" s="14" t="s">
        <v>115</v>
      </c>
      <c r="I61" s="14" t="s">
        <v>722</v>
      </c>
      <c r="J61" s="14" t="s">
        <v>712</v>
      </c>
      <c r="K61" s="16">
        <v>10.0</v>
      </c>
      <c r="L61" s="14" t="s">
        <v>1139</v>
      </c>
      <c r="M61" s="14">
        <v>60.0</v>
      </c>
      <c r="N61" s="14">
        <v>600.0</v>
      </c>
      <c r="O61" s="14" t="s">
        <v>673</v>
      </c>
      <c r="P61" s="14" t="s">
        <v>674</v>
      </c>
      <c r="Q61" s="24">
        <v>46276.0</v>
      </c>
      <c r="R61" s="14" t="s">
        <v>676</v>
      </c>
    </row>
    <row r="62">
      <c r="A62" s="14" t="s">
        <v>1141</v>
      </c>
      <c r="B62" s="24">
        <v>46276.0</v>
      </c>
      <c r="C62" s="13">
        <v>46276.65490740741</v>
      </c>
      <c r="D62" s="14" t="s">
        <v>662</v>
      </c>
      <c r="E62" s="14" t="s">
        <v>968</v>
      </c>
      <c r="F62" s="14" t="s">
        <v>111</v>
      </c>
      <c r="G62" s="14" t="s">
        <v>965</v>
      </c>
      <c r="H62" s="14" t="s">
        <v>115</v>
      </c>
      <c r="I62" s="14" t="s">
        <v>710</v>
      </c>
      <c r="J62" s="14" t="s">
        <v>712</v>
      </c>
      <c r="K62" s="14">
        <v>5.0</v>
      </c>
      <c r="L62" s="14" t="s">
        <v>1139</v>
      </c>
      <c r="M62" s="14">
        <v>45.0</v>
      </c>
      <c r="N62" s="14">
        <v>225.0</v>
      </c>
      <c r="O62" s="14" t="s">
        <v>673</v>
      </c>
      <c r="P62" s="14" t="s">
        <v>674</v>
      </c>
      <c r="R62" s="14" t="s">
        <v>676</v>
      </c>
    </row>
    <row r="63">
      <c r="A63" s="14" t="s">
        <v>1145</v>
      </c>
      <c r="B63" s="24">
        <v>46276.0</v>
      </c>
      <c r="C63" s="13">
        <v>46276.654652777775</v>
      </c>
      <c r="D63" s="14" t="s">
        <v>662</v>
      </c>
      <c r="E63" s="14" t="s">
        <v>943</v>
      </c>
      <c r="F63" s="14" t="s">
        <v>111</v>
      </c>
      <c r="G63" s="14" t="s">
        <v>942</v>
      </c>
      <c r="H63" s="14" t="s">
        <v>115</v>
      </c>
      <c r="I63" s="14" t="s">
        <v>728</v>
      </c>
      <c r="J63" s="14" t="s">
        <v>712</v>
      </c>
      <c r="K63" s="14">
        <v>3.0</v>
      </c>
      <c r="L63" s="14" t="s">
        <v>1139</v>
      </c>
      <c r="M63" s="14">
        <v>200.0</v>
      </c>
      <c r="N63" s="14">
        <v>600.0</v>
      </c>
      <c r="O63" s="14" t="s">
        <v>673</v>
      </c>
      <c r="P63" s="14" t="s">
        <v>674</v>
      </c>
      <c r="R63" s="14" t="s">
        <v>676</v>
      </c>
    </row>
    <row r="64">
      <c r="A64" s="14" t="s">
        <v>1148</v>
      </c>
      <c r="B64" s="24">
        <v>46277.0</v>
      </c>
      <c r="C64" s="13">
        <v>46277.44590277778</v>
      </c>
      <c r="D64" s="14" t="s">
        <v>662</v>
      </c>
      <c r="E64" s="14" t="s">
        <v>1149</v>
      </c>
      <c r="F64" s="14" t="s">
        <v>132</v>
      </c>
      <c r="G64" s="14" t="s">
        <v>1150</v>
      </c>
      <c r="H64" s="14" t="s">
        <v>133</v>
      </c>
      <c r="I64" s="14" t="s">
        <v>107</v>
      </c>
      <c r="J64" s="14" t="s">
        <v>13</v>
      </c>
      <c r="K64" s="14">
        <v>10.0</v>
      </c>
      <c r="L64" s="14" t="s">
        <v>359</v>
      </c>
      <c r="M64" s="14">
        <v>50.0</v>
      </c>
      <c r="N64" s="14">
        <v>500.0</v>
      </c>
      <c r="O64" s="14" t="s">
        <v>673</v>
      </c>
      <c r="P64" s="14" t="s">
        <v>674</v>
      </c>
      <c r="Q64" s="24">
        <v>46277.0</v>
      </c>
      <c r="R64" s="14" t="s">
        <v>676</v>
      </c>
    </row>
    <row r="65">
      <c r="A65" s="14" t="s">
        <v>1153</v>
      </c>
      <c r="B65" s="24">
        <v>46277.0</v>
      </c>
      <c r="C65" s="13">
        <v>46277.44657407407</v>
      </c>
      <c r="D65" s="14" t="s">
        <v>662</v>
      </c>
      <c r="E65" s="14" t="s">
        <v>1156</v>
      </c>
      <c r="F65" s="14" t="s">
        <v>132</v>
      </c>
      <c r="G65" s="14" t="s">
        <v>1158</v>
      </c>
      <c r="H65" s="14" t="s">
        <v>133</v>
      </c>
      <c r="I65" s="14" t="s">
        <v>289</v>
      </c>
      <c r="J65" s="14" t="s">
        <v>13</v>
      </c>
      <c r="K65" s="14">
        <v>5.0</v>
      </c>
      <c r="L65" s="14" t="s">
        <v>359</v>
      </c>
      <c r="M65" s="14">
        <v>60.0</v>
      </c>
      <c r="N65" s="14">
        <v>300.0</v>
      </c>
      <c r="O65" s="14" t="s">
        <v>673</v>
      </c>
      <c r="P65" s="14" t="s">
        <v>674</v>
      </c>
      <c r="Q65" s="24">
        <v>46277.0</v>
      </c>
      <c r="R65" s="14" t="s">
        <v>676</v>
      </c>
    </row>
    <row r="66">
      <c r="A66" s="14" t="s">
        <v>1162</v>
      </c>
      <c r="B66" s="24">
        <v>46277.0</v>
      </c>
      <c r="C66" s="13">
        <v>46277.446747685186</v>
      </c>
      <c r="D66" s="14" t="s">
        <v>662</v>
      </c>
      <c r="E66" s="14" t="s">
        <v>1163</v>
      </c>
      <c r="F66" s="14" t="s">
        <v>132</v>
      </c>
      <c r="G66" s="14" t="s">
        <v>1164</v>
      </c>
      <c r="H66" s="14" t="s">
        <v>133</v>
      </c>
      <c r="I66" s="14" t="s">
        <v>230</v>
      </c>
      <c r="J66" s="14" t="s">
        <v>13</v>
      </c>
      <c r="K66" s="14">
        <v>5.0</v>
      </c>
      <c r="L66" s="14" t="s">
        <v>359</v>
      </c>
      <c r="M66" s="14">
        <v>40.0</v>
      </c>
      <c r="N66" s="14">
        <v>200.0</v>
      </c>
      <c r="O66" s="14" t="s">
        <v>673</v>
      </c>
      <c r="P66" s="14" t="s">
        <v>674</v>
      </c>
      <c r="Q66" s="24">
        <v>46277.0</v>
      </c>
      <c r="R66" s="14" t="s">
        <v>676</v>
      </c>
    </row>
    <row r="67">
      <c r="A67" s="14" t="s">
        <v>1168</v>
      </c>
      <c r="B67" s="24">
        <v>46277.0</v>
      </c>
      <c r="C67" s="13">
        <v>46277.44734953704</v>
      </c>
      <c r="D67" s="14" t="s">
        <v>662</v>
      </c>
      <c r="E67" s="14" t="s">
        <v>1169</v>
      </c>
      <c r="F67" s="14" t="s">
        <v>132</v>
      </c>
      <c r="G67" s="14" t="s">
        <v>1171</v>
      </c>
      <c r="H67" s="14" t="s">
        <v>133</v>
      </c>
      <c r="I67" s="14" t="s">
        <v>369</v>
      </c>
      <c r="J67" s="14" t="s">
        <v>362</v>
      </c>
      <c r="K67" s="14">
        <v>10.0</v>
      </c>
      <c r="L67" s="14" t="s">
        <v>989</v>
      </c>
      <c r="M67" s="14">
        <v>50.0</v>
      </c>
      <c r="N67" s="14">
        <v>500.0</v>
      </c>
      <c r="O67" s="14" t="s">
        <v>673</v>
      </c>
      <c r="P67" s="14" t="s">
        <v>674</v>
      </c>
      <c r="Q67" s="24">
        <v>46277.0</v>
      </c>
      <c r="R67" s="14" t="s">
        <v>676</v>
      </c>
    </row>
    <row r="68">
      <c r="A68" s="14" t="s">
        <v>1175</v>
      </c>
      <c r="B68" s="24">
        <v>46277.0</v>
      </c>
      <c r="C68" s="13">
        <v>46277.44747685185</v>
      </c>
      <c r="D68" s="14" t="s">
        <v>662</v>
      </c>
      <c r="E68" s="14" t="s">
        <v>1176</v>
      </c>
      <c r="F68" s="14" t="s">
        <v>132</v>
      </c>
      <c r="G68" s="14" t="s">
        <v>1177</v>
      </c>
      <c r="H68" s="14" t="s">
        <v>133</v>
      </c>
      <c r="I68" s="14" t="s">
        <v>377</v>
      </c>
      <c r="J68" s="14" t="s">
        <v>362</v>
      </c>
      <c r="K68" s="14">
        <v>100.0</v>
      </c>
      <c r="L68" s="14" t="s">
        <v>791</v>
      </c>
      <c r="M68" s="14">
        <v>30.0</v>
      </c>
      <c r="N68" s="14">
        <v>3000.0</v>
      </c>
      <c r="O68" s="14" t="s">
        <v>673</v>
      </c>
      <c r="P68" s="14" t="s">
        <v>674</v>
      </c>
      <c r="Q68" s="24">
        <v>46277.0</v>
      </c>
      <c r="R68" s="14" t="s">
        <v>676</v>
      </c>
    </row>
    <row r="69">
      <c r="A69" s="14" t="s">
        <v>1180</v>
      </c>
      <c r="B69" s="24">
        <v>46277.0</v>
      </c>
      <c r="C69" s="13">
        <v>46277.447696759256</v>
      </c>
      <c r="D69" s="14" t="s">
        <v>662</v>
      </c>
      <c r="E69" s="14" t="s">
        <v>1183</v>
      </c>
      <c r="F69" s="14" t="s">
        <v>132</v>
      </c>
      <c r="G69" s="14" t="s">
        <v>1185</v>
      </c>
      <c r="H69" s="14" t="s">
        <v>133</v>
      </c>
      <c r="I69" s="14" t="s">
        <v>727</v>
      </c>
      <c r="J69" s="14" t="s">
        <v>416</v>
      </c>
      <c r="K69" s="14">
        <v>2.0</v>
      </c>
      <c r="L69" s="14" t="s">
        <v>359</v>
      </c>
      <c r="M69" s="14">
        <v>300.0</v>
      </c>
      <c r="N69" s="14">
        <v>600.0</v>
      </c>
      <c r="O69" s="14" t="s">
        <v>673</v>
      </c>
      <c r="P69" s="14" t="s">
        <v>674</v>
      </c>
      <c r="Q69" s="24">
        <v>46277.0</v>
      </c>
      <c r="R69" s="14" t="s">
        <v>676</v>
      </c>
    </row>
    <row r="70">
      <c r="A70" s="14" t="s">
        <v>1187</v>
      </c>
      <c r="B70" s="24">
        <v>46277.0</v>
      </c>
      <c r="C70" s="13">
        <v>46277.44782407407</v>
      </c>
      <c r="D70" s="14" t="s">
        <v>662</v>
      </c>
      <c r="E70" s="14" t="s">
        <v>1189</v>
      </c>
      <c r="F70" s="14" t="s">
        <v>132</v>
      </c>
      <c r="G70" s="14" t="s">
        <v>1190</v>
      </c>
      <c r="H70" s="14" t="s">
        <v>133</v>
      </c>
      <c r="I70" s="14" t="s">
        <v>758</v>
      </c>
      <c r="J70" s="14" t="s">
        <v>416</v>
      </c>
      <c r="K70" s="14">
        <v>10.0</v>
      </c>
      <c r="L70" s="14" t="s">
        <v>818</v>
      </c>
      <c r="M70" s="14">
        <v>10.0</v>
      </c>
      <c r="N70" s="14">
        <v>100.0</v>
      </c>
      <c r="O70" s="14" t="s">
        <v>673</v>
      </c>
      <c r="P70" s="14" t="s">
        <v>674</v>
      </c>
      <c r="Q70" s="24">
        <v>46277.0</v>
      </c>
      <c r="R70" s="14" t="s">
        <v>676</v>
      </c>
    </row>
    <row r="71">
      <c r="A71" s="14" t="s">
        <v>1193</v>
      </c>
      <c r="B71" s="24">
        <v>46277.0</v>
      </c>
      <c r="C71" s="13">
        <v>46277.44798611111</v>
      </c>
      <c r="D71" s="14" t="s">
        <v>662</v>
      </c>
      <c r="E71" s="14" t="s">
        <v>1195</v>
      </c>
      <c r="F71" s="14" t="s">
        <v>132</v>
      </c>
      <c r="G71" s="14" t="s">
        <v>1197</v>
      </c>
      <c r="H71" s="14" t="s">
        <v>133</v>
      </c>
      <c r="I71" s="14" t="s">
        <v>424</v>
      </c>
      <c r="J71" s="14" t="s">
        <v>416</v>
      </c>
      <c r="K71" s="14">
        <v>10.0</v>
      </c>
      <c r="L71" s="14" t="s">
        <v>989</v>
      </c>
      <c r="M71" s="14">
        <v>10.0</v>
      </c>
      <c r="N71" s="14">
        <v>100.0</v>
      </c>
      <c r="O71" s="14" t="s">
        <v>673</v>
      </c>
      <c r="P71" s="14" t="s">
        <v>674</v>
      </c>
      <c r="Q71" s="24">
        <v>46277.0</v>
      </c>
      <c r="R71" s="14" t="s">
        <v>676</v>
      </c>
    </row>
    <row r="72">
      <c r="A72" s="14" t="s">
        <v>1202</v>
      </c>
      <c r="B72" s="24">
        <v>46277.0</v>
      </c>
      <c r="C72" s="13">
        <v>46277.44814814815</v>
      </c>
      <c r="D72" s="14" t="s">
        <v>662</v>
      </c>
      <c r="E72" s="14" t="s">
        <v>1205</v>
      </c>
      <c r="F72" s="14" t="s">
        <v>132</v>
      </c>
      <c r="G72" s="14" t="s">
        <v>1206</v>
      </c>
      <c r="H72" s="14" t="s">
        <v>133</v>
      </c>
      <c r="I72" s="14" t="s">
        <v>800</v>
      </c>
      <c r="J72" s="14" t="s">
        <v>430</v>
      </c>
      <c r="K72" s="14">
        <v>30.0</v>
      </c>
      <c r="L72" s="14" t="s">
        <v>791</v>
      </c>
      <c r="M72" s="14">
        <v>3.0</v>
      </c>
      <c r="N72" s="14">
        <v>90.0</v>
      </c>
      <c r="O72" s="14" t="s">
        <v>673</v>
      </c>
      <c r="P72" s="14" t="s">
        <v>674</v>
      </c>
      <c r="Q72" s="24">
        <v>46277.0</v>
      </c>
      <c r="R72" s="14" t="s">
        <v>676</v>
      </c>
    </row>
    <row r="73">
      <c r="A73" s="14" t="s">
        <v>1209</v>
      </c>
      <c r="B73" s="24">
        <v>46277.0</v>
      </c>
      <c r="C73" s="13">
        <v>46277.448333333334</v>
      </c>
      <c r="D73" s="14" t="s">
        <v>662</v>
      </c>
      <c r="E73" s="14" t="s">
        <v>1173</v>
      </c>
      <c r="F73" s="14" t="s">
        <v>132</v>
      </c>
      <c r="G73" s="14" t="s">
        <v>1165</v>
      </c>
      <c r="H73" s="14" t="s">
        <v>133</v>
      </c>
      <c r="I73" s="14" t="s">
        <v>742</v>
      </c>
      <c r="J73" s="14" t="s">
        <v>430</v>
      </c>
      <c r="K73" s="14">
        <v>10.0</v>
      </c>
      <c r="L73" s="14" t="s">
        <v>818</v>
      </c>
      <c r="M73" s="14">
        <v>20.0</v>
      </c>
      <c r="N73" s="14">
        <v>200.0</v>
      </c>
      <c r="O73" s="14" t="s">
        <v>673</v>
      </c>
      <c r="P73" s="14" t="s">
        <v>674</v>
      </c>
      <c r="Q73" s="24">
        <v>46277.0</v>
      </c>
      <c r="R73" s="14" t="s">
        <v>676</v>
      </c>
    </row>
    <row r="74">
      <c r="A74" s="14" t="s">
        <v>1214</v>
      </c>
      <c r="B74" s="24">
        <v>46277.0</v>
      </c>
      <c r="C74" s="13">
        <v>46277.44850694444</v>
      </c>
      <c r="D74" s="14" t="s">
        <v>662</v>
      </c>
      <c r="E74" s="14" t="s">
        <v>1217</v>
      </c>
      <c r="F74" s="14" t="s">
        <v>132</v>
      </c>
      <c r="G74" s="14" t="s">
        <v>1218</v>
      </c>
      <c r="H74" s="14" t="s">
        <v>133</v>
      </c>
      <c r="I74" s="14" t="s">
        <v>816</v>
      </c>
      <c r="J74" s="14" t="s">
        <v>430</v>
      </c>
      <c r="K74" s="14">
        <v>10.0</v>
      </c>
      <c r="L74" s="14" t="s">
        <v>818</v>
      </c>
      <c r="M74" s="14">
        <v>30.0</v>
      </c>
      <c r="N74" s="14">
        <v>300.0</v>
      </c>
      <c r="O74" s="14" t="s">
        <v>673</v>
      </c>
      <c r="P74" s="14" t="s">
        <v>674</v>
      </c>
      <c r="Q74" s="24">
        <v>46277.0</v>
      </c>
      <c r="R74" s="14" t="s">
        <v>676</v>
      </c>
    </row>
    <row r="75">
      <c r="A75" s="14" t="s">
        <v>1220</v>
      </c>
      <c r="B75" s="24">
        <v>46277.0</v>
      </c>
      <c r="C75" s="13">
        <v>46277.44871527778</v>
      </c>
      <c r="D75" s="14" t="s">
        <v>662</v>
      </c>
      <c r="E75" s="14" t="s">
        <v>1181</v>
      </c>
      <c r="F75" s="14" t="s">
        <v>132</v>
      </c>
      <c r="G75" s="14" t="s">
        <v>1179</v>
      </c>
      <c r="H75" s="14" t="s">
        <v>133</v>
      </c>
      <c r="I75" s="14" t="s">
        <v>748</v>
      </c>
      <c r="J75" s="14" t="s">
        <v>430</v>
      </c>
      <c r="K75" s="14">
        <v>10.0</v>
      </c>
      <c r="L75" s="14" t="s">
        <v>818</v>
      </c>
      <c r="M75" s="14">
        <v>1.0</v>
      </c>
      <c r="N75" s="14">
        <v>10.0</v>
      </c>
      <c r="O75" s="14" t="s">
        <v>673</v>
      </c>
      <c r="P75" s="14" t="s">
        <v>674</v>
      </c>
      <c r="Q75" s="24">
        <v>46277.0</v>
      </c>
      <c r="R75" s="14" t="s">
        <v>676</v>
      </c>
    </row>
    <row r="76">
      <c r="A76" s="14" t="s">
        <v>1224</v>
      </c>
      <c r="B76" s="24">
        <v>46277.0</v>
      </c>
      <c r="C76" s="13">
        <v>46277.44886574074</v>
      </c>
      <c r="D76" s="14" t="s">
        <v>662</v>
      </c>
      <c r="E76" s="14" t="s">
        <v>1159</v>
      </c>
      <c r="F76" s="14" t="s">
        <v>132</v>
      </c>
      <c r="G76" s="14" t="s">
        <v>1154</v>
      </c>
      <c r="H76" s="14" t="s">
        <v>133</v>
      </c>
      <c r="I76" s="14" t="s">
        <v>737</v>
      </c>
      <c r="J76" s="14" t="s">
        <v>430</v>
      </c>
      <c r="K76" s="14">
        <v>10.0</v>
      </c>
      <c r="L76" s="14" t="s">
        <v>818</v>
      </c>
      <c r="M76" s="14">
        <v>1.0</v>
      </c>
      <c r="N76" s="14">
        <v>10.0</v>
      </c>
      <c r="O76" s="14" t="s">
        <v>673</v>
      </c>
      <c r="P76" s="14" t="s">
        <v>674</v>
      </c>
      <c r="Q76" s="24">
        <v>46277.0</v>
      </c>
      <c r="R76" s="14" t="s">
        <v>676</v>
      </c>
    </row>
    <row r="77">
      <c r="A77" s="14" t="s">
        <v>1229</v>
      </c>
      <c r="B77" s="24">
        <v>46277.0</v>
      </c>
      <c r="C77" s="13">
        <v>46277.48966435185</v>
      </c>
      <c r="D77" s="14" t="s">
        <v>662</v>
      </c>
      <c r="E77" s="14" t="s">
        <v>1231</v>
      </c>
      <c r="F77" s="14" t="s">
        <v>132</v>
      </c>
      <c r="G77" s="14" t="s">
        <v>1233</v>
      </c>
      <c r="H77" s="14" t="s">
        <v>133</v>
      </c>
      <c r="I77" s="14" t="s">
        <v>686</v>
      </c>
      <c r="J77" s="14" t="s">
        <v>416</v>
      </c>
      <c r="K77" s="14">
        <v>50.0</v>
      </c>
      <c r="L77" s="14" t="s">
        <v>359</v>
      </c>
      <c r="M77" s="14">
        <v>32.0</v>
      </c>
      <c r="N77" s="14">
        <v>1600.0</v>
      </c>
      <c r="O77" s="14" t="s">
        <v>673</v>
      </c>
      <c r="P77" s="14" t="s">
        <v>674</v>
      </c>
      <c r="Q77" s="24">
        <v>46277.0</v>
      </c>
      <c r="R77" s="14" t="s">
        <v>676</v>
      </c>
    </row>
    <row r="78">
      <c r="A78" s="14" t="s">
        <v>1234</v>
      </c>
      <c r="B78" s="24">
        <v>46277.0</v>
      </c>
      <c r="C78" s="13">
        <v>46277.48997685185</v>
      </c>
      <c r="D78" s="14" t="s">
        <v>662</v>
      </c>
      <c r="E78" s="14" t="s">
        <v>1236</v>
      </c>
      <c r="F78" s="14" t="s">
        <v>132</v>
      </c>
      <c r="G78" s="14" t="s">
        <v>1238</v>
      </c>
      <c r="H78" s="14" t="s">
        <v>133</v>
      </c>
      <c r="I78" s="14" t="s">
        <v>795</v>
      </c>
      <c r="J78" s="14" t="s">
        <v>416</v>
      </c>
      <c r="K78" s="14">
        <v>50.0</v>
      </c>
      <c r="L78" s="14" t="s">
        <v>359</v>
      </c>
      <c r="M78" s="14">
        <v>30.0</v>
      </c>
      <c r="N78" s="14">
        <v>1500.0</v>
      </c>
      <c r="O78" s="14" t="s">
        <v>673</v>
      </c>
      <c r="P78" s="14" t="s">
        <v>674</v>
      </c>
      <c r="Q78" s="24">
        <v>46277.0</v>
      </c>
      <c r="R78" s="14" t="s">
        <v>676</v>
      </c>
    </row>
    <row r="79">
      <c r="A79" s="14" t="s">
        <v>1241</v>
      </c>
      <c r="B79" s="24">
        <v>46277.0</v>
      </c>
      <c r="C79" s="13">
        <v>46277.49151620371</v>
      </c>
      <c r="D79" s="14" t="s">
        <v>662</v>
      </c>
      <c r="E79" s="14" t="s">
        <v>1242</v>
      </c>
      <c r="F79" s="14" t="s">
        <v>132</v>
      </c>
      <c r="G79" s="14" t="s">
        <v>1243</v>
      </c>
      <c r="H79" s="14" t="s">
        <v>133</v>
      </c>
      <c r="I79" s="14" t="s">
        <v>251</v>
      </c>
      <c r="J79" s="14" t="s">
        <v>13</v>
      </c>
      <c r="K79" s="14">
        <v>30.0</v>
      </c>
      <c r="L79" s="14" t="s">
        <v>359</v>
      </c>
      <c r="M79" s="14">
        <v>35.0</v>
      </c>
      <c r="N79" s="14">
        <v>1050.0</v>
      </c>
      <c r="O79" s="14" t="s">
        <v>673</v>
      </c>
      <c r="P79" s="14" t="s">
        <v>674</v>
      </c>
      <c r="Q79" s="24">
        <v>46277.0</v>
      </c>
      <c r="R79" s="14" t="s">
        <v>676</v>
      </c>
    </row>
    <row r="80">
      <c r="A80" s="14" t="s">
        <v>1246</v>
      </c>
      <c r="B80" s="24">
        <v>46277.0</v>
      </c>
      <c r="C80" s="13">
        <v>46277.69553240741</v>
      </c>
      <c r="D80" s="14" t="s">
        <v>662</v>
      </c>
      <c r="E80" s="14" t="s">
        <v>1247</v>
      </c>
      <c r="F80" s="14" t="s">
        <v>132</v>
      </c>
      <c r="G80" s="14" t="s">
        <v>1248</v>
      </c>
      <c r="H80" s="14" t="s">
        <v>133</v>
      </c>
      <c r="I80" s="14" t="s">
        <v>74</v>
      </c>
      <c r="J80" s="14" t="s">
        <v>13</v>
      </c>
      <c r="K80" s="14">
        <v>40.0</v>
      </c>
      <c r="L80" s="14" t="s">
        <v>359</v>
      </c>
      <c r="M80" s="14">
        <v>25.0</v>
      </c>
      <c r="N80" s="14">
        <v>1000.0</v>
      </c>
      <c r="O80" s="14" t="s">
        <v>673</v>
      </c>
      <c r="P80" s="14" t="s">
        <v>674</v>
      </c>
      <c r="Q80" s="24">
        <v>46277.0</v>
      </c>
      <c r="R80" s="14" t="s">
        <v>676</v>
      </c>
    </row>
    <row r="81">
      <c r="A81" s="14" t="s">
        <v>1249</v>
      </c>
      <c r="B81" s="24">
        <v>46279.0</v>
      </c>
      <c r="C81" s="13">
        <v>46279.502546296295</v>
      </c>
      <c r="D81" s="14" t="s">
        <v>662</v>
      </c>
      <c r="E81" s="14" t="s">
        <v>1251</v>
      </c>
      <c r="F81" s="14" t="s">
        <v>132</v>
      </c>
      <c r="G81" s="14" t="s">
        <v>1253</v>
      </c>
      <c r="H81" s="14" t="s">
        <v>133</v>
      </c>
      <c r="I81" s="14" t="s">
        <v>716</v>
      </c>
      <c r="J81" s="14" t="s">
        <v>416</v>
      </c>
      <c r="K81" s="14">
        <v>5.0</v>
      </c>
      <c r="L81" s="14" t="s">
        <v>359</v>
      </c>
      <c r="M81" s="14">
        <v>300.0</v>
      </c>
      <c r="N81" s="14">
        <v>1500.0</v>
      </c>
      <c r="O81" s="14" t="s">
        <v>673</v>
      </c>
      <c r="P81" s="14" t="s">
        <v>674</v>
      </c>
      <c r="Q81" s="24">
        <v>46279.0</v>
      </c>
      <c r="R81" s="14" t="s">
        <v>676</v>
      </c>
    </row>
    <row r="82">
      <c r="A82" s="14" t="s">
        <v>1256</v>
      </c>
      <c r="B82" s="24">
        <v>46281.0</v>
      </c>
      <c r="C82" s="13">
        <v>46281.45300925926</v>
      </c>
      <c r="D82" s="14" t="s">
        <v>662</v>
      </c>
      <c r="E82" s="14" t="s">
        <v>1257</v>
      </c>
      <c r="F82" s="14" t="s">
        <v>132</v>
      </c>
      <c r="G82" s="14" t="s">
        <v>1258</v>
      </c>
      <c r="H82" s="14" t="s">
        <v>133</v>
      </c>
      <c r="I82" s="14" t="s">
        <v>860</v>
      </c>
      <c r="J82" s="14" t="s">
        <v>861</v>
      </c>
      <c r="K82" s="14">
        <v>100.0</v>
      </c>
      <c r="L82" s="14" t="s">
        <v>359</v>
      </c>
      <c r="M82" s="14">
        <v>20.0</v>
      </c>
      <c r="N82" s="14">
        <v>2000.0</v>
      </c>
      <c r="O82" s="14" t="s">
        <v>673</v>
      </c>
      <c r="P82" s="14" t="s">
        <v>674</v>
      </c>
      <c r="Q82" s="24">
        <v>46281.0</v>
      </c>
      <c r="R82" s="14" t="s">
        <v>676</v>
      </c>
    </row>
    <row r="83">
      <c r="A83" s="14" t="s">
        <v>1260</v>
      </c>
      <c r="B83" s="24">
        <v>46288.0</v>
      </c>
      <c r="C83" s="13">
        <v>46288.537314814814</v>
      </c>
      <c r="D83" s="14" t="s">
        <v>662</v>
      </c>
      <c r="E83" s="14" t="s">
        <v>1261</v>
      </c>
      <c r="F83" s="14" t="s">
        <v>132</v>
      </c>
      <c r="G83" s="14" t="s">
        <v>1262</v>
      </c>
      <c r="H83" s="14" t="s">
        <v>133</v>
      </c>
      <c r="I83" s="14" t="s">
        <v>101</v>
      </c>
      <c r="J83" s="14" t="s">
        <v>13</v>
      </c>
      <c r="K83" s="14">
        <v>5.0</v>
      </c>
      <c r="L83" s="14" t="s">
        <v>359</v>
      </c>
      <c r="M83" s="14">
        <v>40.0</v>
      </c>
      <c r="N83" s="14">
        <v>200.0</v>
      </c>
      <c r="O83" s="14" t="s">
        <v>673</v>
      </c>
      <c r="P83" s="14" t="s">
        <v>674</v>
      </c>
      <c r="Q83" s="24">
        <v>46288.0</v>
      </c>
      <c r="R83" s="14" t="s">
        <v>676</v>
      </c>
    </row>
    <row r="84">
      <c r="A84" s="14" t="s">
        <v>1265</v>
      </c>
      <c r="B84" s="24">
        <v>46289.0</v>
      </c>
      <c r="C84" s="13">
        <v>46289.55636574074</v>
      </c>
      <c r="D84" s="14" t="s">
        <v>662</v>
      </c>
      <c r="E84" s="14" t="s">
        <v>1266</v>
      </c>
      <c r="F84" s="14" t="s">
        <v>132</v>
      </c>
      <c r="G84" s="14" t="s">
        <v>1268</v>
      </c>
      <c r="H84" s="14" t="s">
        <v>133</v>
      </c>
      <c r="I84" s="14" t="s">
        <v>873</v>
      </c>
      <c r="J84" s="14" t="s">
        <v>430</v>
      </c>
      <c r="K84" s="14">
        <v>3.0</v>
      </c>
      <c r="L84" s="14" t="s">
        <v>359</v>
      </c>
      <c r="M84" s="14">
        <v>24.0</v>
      </c>
      <c r="N84" s="14">
        <v>72.0</v>
      </c>
      <c r="O84" s="14" t="s">
        <v>673</v>
      </c>
      <c r="P84" s="14" t="s">
        <v>674</v>
      </c>
      <c r="Q84" s="24">
        <v>46289.0</v>
      </c>
      <c r="R84" s="14" t="s">
        <v>676</v>
      </c>
    </row>
    <row r="85">
      <c r="A85" s="14" t="s">
        <v>1272</v>
      </c>
      <c r="B85" s="24">
        <v>46289.0</v>
      </c>
      <c r="C85" s="13">
        <v>46289.560532407406</v>
      </c>
      <c r="D85" s="14" t="s">
        <v>662</v>
      </c>
      <c r="E85" s="14" t="s">
        <v>1273</v>
      </c>
      <c r="F85" s="14" t="s">
        <v>111</v>
      </c>
      <c r="G85" s="14" t="s">
        <v>1275</v>
      </c>
      <c r="H85" s="14" t="s">
        <v>115</v>
      </c>
      <c r="I85" s="14" t="s">
        <v>517</v>
      </c>
      <c r="J85" s="14" t="s">
        <v>362</v>
      </c>
      <c r="K85" s="14">
        <v>20.0</v>
      </c>
      <c r="L85" s="14" t="s">
        <v>359</v>
      </c>
      <c r="M85" s="14">
        <v>200.0</v>
      </c>
      <c r="N85" s="14">
        <v>4000.0</v>
      </c>
      <c r="O85" s="14" t="s">
        <v>673</v>
      </c>
      <c r="P85" s="14" t="s">
        <v>674</v>
      </c>
      <c r="Q85" s="24">
        <v>46289.0</v>
      </c>
      <c r="R85" s="14" t="s">
        <v>676</v>
      </c>
    </row>
    <row r="86">
      <c r="A86" s="14" t="s">
        <v>1278</v>
      </c>
      <c r="B86" s="24">
        <v>46289.0</v>
      </c>
      <c r="C86" s="13">
        <v>46289.59400462963</v>
      </c>
      <c r="D86" s="14" t="s">
        <v>662</v>
      </c>
      <c r="E86" s="14" t="s">
        <v>1279</v>
      </c>
      <c r="F86" s="14" t="s">
        <v>111</v>
      </c>
      <c r="G86" s="14" t="s">
        <v>1280</v>
      </c>
      <c r="H86" s="14" t="s">
        <v>115</v>
      </c>
      <c r="I86" s="14" t="s">
        <v>226</v>
      </c>
      <c r="J86" s="14" t="s">
        <v>13</v>
      </c>
      <c r="K86" s="14">
        <v>100.0</v>
      </c>
      <c r="L86" s="14" t="s">
        <v>791</v>
      </c>
      <c r="M86" s="14">
        <v>13.0</v>
      </c>
      <c r="N86" s="14">
        <v>1300.0</v>
      </c>
      <c r="O86" s="14" t="s">
        <v>673</v>
      </c>
      <c r="P86" s="14" t="s">
        <v>674</v>
      </c>
      <c r="Q86" s="24">
        <v>46289.0</v>
      </c>
      <c r="R86" s="14" t="s">
        <v>676</v>
      </c>
    </row>
    <row r="87">
      <c r="A87" s="14" t="s">
        <v>1282</v>
      </c>
      <c r="B87" s="24">
        <v>46293.0</v>
      </c>
      <c r="C87" s="13">
        <v>46293.947604166664</v>
      </c>
      <c r="D87" s="14" t="s">
        <v>662</v>
      </c>
      <c r="E87" s="14" t="s">
        <v>1284</v>
      </c>
      <c r="F87" s="14" t="s">
        <v>132</v>
      </c>
      <c r="G87" s="14" t="s">
        <v>1286</v>
      </c>
      <c r="H87" s="14" t="s">
        <v>133</v>
      </c>
      <c r="I87" s="14" t="s">
        <v>901</v>
      </c>
      <c r="J87" s="14" t="s">
        <v>893</v>
      </c>
      <c r="K87" s="14">
        <v>25.0</v>
      </c>
      <c r="L87" s="14" t="s">
        <v>359</v>
      </c>
      <c r="M87" s="14">
        <v>160.0</v>
      </c>
      <c r="N87" s="14">
        <v>4000.0</v>
      </c>
      <c r="O87" s="14" t="s">
        <v>673</v>
      </c>
      <c r="P87" s="14" t="s">
        <v>674</v>
      </c>
      <c r="Q87" s="24">
        <v>46293.0</v>
      </c>
      <c r="R87" s="14" t="s">
        <v>676</v>
      </c>
    </row>
    <row r="88">
      <c r="A88" s="14" t="s">
        <v>1287</v>
      </c>
      <c r="B88" s="24">
        <v>46293.0</v>
      </c>
      <c r="C88" s="13">
        <v>46293.94778935185</v>
      </c>
      <c r="D88" s="14" t="s">
        <v>662</v>
      </c>
      <c r="E88" s="14" t="s">
        <v>1289</v>
      </c>
      <c r="F88" s="14" t="s">
        <v>132</v>
      </c>
      <c r="G88" s="14" t="s">
        <v>1290</v>
      </c>
      <c r="H88" s="14" t="s">
        <v>133</v>
      </c>
      <c r="I88" s="14" t="s">
        <v>934</v>
      </c>
      <c r="J88" s="14" t="s">
        <v>893</v>
      </c>
      <c r="K88" s="14">
        <v>25.0</v>
      </c>
      <c r="L88" s="14" t="s">
        <v>359</v>
      </c>
      <c r="M88" s="14">
        <v>50.0</v>
      </c>
      <c r="N88" s="14">
        <v>1250.0</v>
      </c>
      <c r="O88" s="14" t="s">
        <v>673</v>
      </c>
      <c r="P88" s="14" t="s">
        <v>674</v>
      </c>
      <c r="Q88" s="24">
        <v>46293.0</v>
      </c>
      <c r="R88" s="14" t="s">
        <v>676</v>
      </c>
    </row>
    <row r="89">
      <c r="A89" s="14" t="s">
        <v>1292</v>
      </c>
      <c r="B89" s="24">
        <v>46293.0</v>
      </c>
      <c r="C89" s="13">
        <v>46293.94792824074</v>
      </c>
      <c r="D89" s="14" t="s">
        <v>662</v>
      </c>
      <c r="E89" s="14" t="s">
        <v>1295</v>
      </c>
      <c r="F89" s="14" t="s">
        <v>132</v>
      </c>
      <c r="G89" s="14" t="s">
        <v>1296</v>
      </c>
      <c r="H89" s="14" t="s">
        <v>133</v>
      </c>
      <c r="I89" s="14" t="s">
        <v>912</v>
      </c>
      <c r="J89" s="14" t="s">
        <v>893</v>
      </c>
      <c r="K89" s="14">
        <v>25.0</v>
      </c>
      <c r="L89" s="14" t="s">
        <v>359</v>
      </c>
      <c r="M89" s="14">
        <v>100.0</v>
      </c>
      <c r="N89" s="14">
        <v>2500.0</v>
      </c>
      <c r="O89" s="14" t="s">
        <v>673</v>
      </c>
      <c r="P89" s="14" t="s">
        <v>674</v>
      </c>
      <c r="Q89" s="24">
        <v>46293.0</v>
      </c>
      <c r="R89" s="14" t="s">
        <v>676</v>
      </c>
    </row>
    <row r="90">
      <c r="A90" s="14" t="s">
        <v>1299</v>
      </c>
      <c r="B90" s="24">
        <v>46293.0</v>
      </c>
      <c r="C90" s="13">
        <v>46293.94804398148</v>
      </c>
      <c r="D90" s="14" t="s">
        <v>662</v>
      </c>
      <c r="E90" s="14" t="s">
        <v>1302</v>
      </c>
      <c r="F90" s="14" t="s">
        <v>132</v>
      </c>
      <c r="G90" s="14" t="s">
        <v>1303</v>
      </c>
      <c r="H90" s="14" t="s">
        <v>133</v>
      </c>
      <c r="I90" s="14" t="s">
        <v>928</v>
      </c>
      <c r="J90" s="14" t="s">
        <v>893</v>
      </c>
      <c r="K90" s="14">
        <v>25.0</v>
      </c>
      <c r="L90" s="14" t="s">
        <v>359</v>
      </c>
      <c r="M90" s="14">
        <v>110.0</v>
      </c>
      <c r="N90" s="14">
        <v>2750.0</v>
      </c>
      <c r="O90" s="14" t="s">
        <v>673</v>
      </c>
      <c r="P90" s="14" t="s">
        <v>674</v>
      </c>
      <c r="Q90" s="24">
        <v>46293.0</v>
      </c>
      <c r="R90" s="14" t="s">
        <v>676</v>
      </c>
    </row>
    <row r="91">
      <c r="A91" s="14" t="s">
        <v>1306</v>
      </c>
      <c r="B91" s="24">
        <v>46293.0</v>
      </c>
      <c r="C91" s="13">
        <v>46293.948171296295</v>
      </c>
      <c r="D91" s="14" t="s">
        <v>662</v>
      </c>
      <c r="E91" s="14" t="s">
        <v>1309</v>
      </c>
      <c r="F91" s="14" t="s">
        <v>132</v>
      </c>
      <c r="G91" s="14" t="s">
        <v>1310</v>
      </c>
      <c r="H91" s="14" t="s">
        <v>133</v>
      </c>
      <c r="I91" s="14" t="s">
        <v>918</v>
      </c>
      <c r="J91" s="14" t="s">
        <v>893</v>
      </c>
      <c r="K91" s="14">
        <v>25.0</v>
      </c>
      <c r="L91" s="14" t="s">
        <v>359</v>
      </c>
      <c r="M91" s="14">
        <v>190.0</v>
      </c>
      <c r="N91" s="14">
        <v>4750.0</v>
      </c>
      <c r="O91" s="14" t="s">
        <v>673</v>
      </c>
      <c r="P91" s="14" t="s">
        <v>674</v>
      </c>
      <c r="Q91" s="24">
        <v>46293.0</v>
      </c>
      <c r="R91" s="14" t="s">
        <v>676</v>
      </c>
    </row>
    <row r="92">
      <c r="A92" s="14" t="s">
        <v>1313</v>
      </c>
      <c r="B92" s="24">
        <v>46293.0</v>
      </c>
      <c r="C92" s="13">
        <v>46293.948333333334</v>
      </c>
      <c r="D92" s="14" t="s">
        <v>662</v>
      </c>
      <c r="E92" s="14" t="s">
        <v>1315</v>
      </c>
      <c r="F92" s="14" t="s">
        <v>132</v>
      </c>
      <c r="G92" s="14" t="s">
        <v>1317</v>
      </c>
      <c r="H92" s="14" t="s">
        <v>133</v>
      </c>
      <c r="I92" s="14" t="s">
        <v>892</v>
      </c>
      <c r="J92" s="14" t="s">
        <v>893</v>
      </c>
      <c r="K92" s="14">
        <v>25.0</v>
      </c>
      <c r="L92" s="14" t="s">
        <v>359</v>
      </c>
      <c r="M92" s="14">
        <v>40.0</v>
      </c>
      <c r="N92" s="14">
        <v>1000.0</v>
      </c>
      <c r="O92" s="14" t="s">
        <v>673</v>
      </c>
      <c r="P92" s="14" t="s">
        <v>674</v>
      </c>
      <c r="Q92" s="24">
        <v>46293.0</v>
      </c>
      <c r="R92" s="14" t="s">
        <v>676</v>
      </c>
    </row>
    <row r="93">
      <c r="A93" s="14" t="s">
        <v>1320</v>
      </c>
      <c r="B93" s="24">
        <v>46293.0</v>
      </c>
      <c r="C93" s="13">
        <v>46293.948483796295</v>
      </c>
      <c r="D93" s="14" t="s">
        <v>662</v>
      </c>
      <c r="E93" s="14" t="s">
        <v>1321</v>
      </c>
      <c r="F93" s="14" t="s">
        <v>132</v>
      </c>
      <c r="G93" s="14" t="s">
        <v>1324</v>
      </c>
      <c r="H93" s="14" t="s">
        <v>133</v>
      </c>
      <c r="I93" s="14" t="s">
        <v>940</v>
      </c>
      <c r="J93" s="14" t="s">
        <v>893</v>
      </c>
      <c r="K93" s="14">
        <v>25.0</v>
      </c>
      <c r="L93" s="14" t="s">
        <v>359</v>
      </c>
      <c r="M93" s="14">
        <v>95.0</v>
      </c>
      <c r="N93" s="14">
        <v>2375.0</v>
      </c>
      <c r="O93" s="14" t="s">
        <v>673</v>
      </c>
      <c r="P93" s="14" t="s">
        <v>674</v>
      </c>
      <c r="Q93" s="24">
        <v>46293.0</v>
      </c>
      <c r="R93" s="14" t="s">
        <v>676</v>
      </c>
    </row>
    <row r="94">
      <c r="A94" s="14" t="s">
        <v>1326</v>
      </c>
      <c r="B94" s="24">
        <v>46293.0</v>
      </c>
      <c r="C94" s="13">
        <v>46293.94862268519</v>
      </c>
      <c r="D94" s="14" t="s">
        <v>662</v>
      </c>
      <c r="E94" s="14" t="s">
        <v>1328</v>
      </c>
      <c r="F94" s="14" t="s">
        <v>132</v>
      </c>
      <c r="G94" s="14" t="s">
        <v>1329</v>
      </c>
      <c r="H94" s="14" t="s">
        <v>133</v>
      </c>
      <c r="I94" s="14" t="s">
        <v>947</v>
      </c>
      <c r="J94" s="14" t="s">
        <v>893</v>
      </c>
      <c r="K94" s="14">
        <v>25.0</v>
      </c>
      <c r="L94" s="14" t="s">
        <v>359</v>
      </c>
      <c r="M94" s="14">
        <v>100.0</v>
      </c>
      <c r="N94" s="14">
        <v>2500.0</v>
      </c>
      <c r="O94" s="14" t="s">
        <v>673</v>
      </c>
      <c r="P94" s="14" t="s">
        <v>674</v>
      </c>
      <c r="Q94" s="24">
        <v>46293.0</v>
      </c>
      <c r="R94" s="14" t="s">
        <v>676</v>
      </c>
    </row>
    <row r="95">
      <c r="A95" s="14" t="s">
        <v>1331</v>
      </c>
      <c r="B95" s="24">
        <v>46296.0</v>
      </c>
      <c r="C95" s="13">
        <v>46296.34324074074</v>
      </c>
      <c r="D95" s="14" t="s">
        <v>662</v>
      </c>
      <c r="E95" s="14" t="s">
        <v>1332</v>
      </c>
      <c r="F95" s="14" t="s">
        <v>111</v>
      </c>
      <c r="G95" s="14" t="s">
        <v>1333</v>
      </c>
      <c r="H95" s="14" t="s">
        <v>115</v>
      </c>
      <c r="I95" s="14" t="s">
        <v>956</v>
      </c>
      <c r="J95" s="14" t="s">
        <v>958</v>
      </c>
      <c r="K95" s="14">
        <v>50.0</v>
      </c>
      <c r="L95" s="14" t="s">
        <v>359</v>
      </c>
      <c r="M95" s="14">
        <v>45.0</v>
      </c>
      <c r="N95" s="14">
        <v>2250.0</v>
      </c>
      <c r="O95" s="14" t="s">
        <v>673</v>
      </c>
      <c r="P95" s="14" t="s">
        <v>674</v>
      </c>
      <c r="Q95" s="24">
        <v>46296.0</v>
      </c>
      <c r="R95" s="14" t="s">
        <v>676</v>
      </c>
    </row>
    <row r="96">
      <c r="A96" s="14" t="s">
        <v>1335</v>
      </c>
      <c r="B96" s="24">
        <v>46296.0</v>
      </c>
      <c r="C96" s="13">
        <v>46296.34359953704</v>
      </c>
      <c r="D96" s="14" t="s">
        <v>662</v>
      </c>
      <c r="E96" s="14" t="s">
        <v>1336</v>
      </c>
      <c r="F96" s="14" t="s">
        <v>132</v>
      </c>
      <c r="G96" s="14" t="s">
        <v>1338</v>
      </c>
      <c r="H96" s="14" t="s">
        <v>133</v>
      </c>
      <c r="I96" s="14" t="s">
        <v>963</v>
      </c>
      <c r="J96" s="14" t="s">
        <v>966</v>
      </c>
      <c r="K96" s="14">
        <v>100.0</v>
      </c>
      <c r="L96" s="14" t="s">
        <v>359</v>
      </c>
      <c r="M96" s="14">
        <v>110.0</v>
      </c>
      <c r="N96" s="14">
        <v>11000.0</v>
      </c>
      <c r="O96" s="14" t="s">
        <v>673</v>
      </c>
      <c r="P96" s="14" t="s">
        <v>674</v>
      </c>
      <c r="Q96" s="24">
        <v>46296.0</v>
      </c>
      <c r="R96" s="14" t="s">
        <v>676</v>
      </c>
    </row>
    <row r="97">
      <c r="A97" s="14" t="s">
        <v>1340</v>
      </c>
      <c r="B97" s="24">
        <v>46296.0</v>
      </c>
      <c r="C97" s="13">
        <v>46296.3437037037</v>
      </c>
      <c r="D97" s="14" t="s">
        <v>662</v>
      </c>
      <c r="E97" s="14" t="s">
        <v>1341</v>
      </c>
      <c r="F97" s="14" t="s">
        <v>132</v>
      </c>
      <c r="G97" s="14" t="s">
        <v>1342</v>
      </c>
      <c r="H97" s="14" t="s">
        <v>133</v>
      </c>
      <c r="I97" s="14" t="s">
        <v>1343</v>
      </c>
      <c r="J97" s="14" t="s">
        <v>966</v>
      </c>
      <c r="K97" s="16">
        <v>100.0</v>
      </c>
      <c r="L97" s="14" t="s">
        <v>359</v>
      </c>
      <c r="M97" s="14">
        <v>130.0</v>
      </c>
      <c r="N97" s="14">
        <v>13000.0</v>
      </c>
      <c r="O97" s="14" t="s">
        <v>673</v>
      </c>
      <c r="P97" s="14" t="s">
        <v>674</v>
      </c>
      <c r="Q97" s="24">
        <v>46296.0</v>
      </c>
      <c r="R97" s="14" t="s">
        <v>676</v>
      </c>
    </row>
    <row r="98">
      <c r="A98" s="14" t="s">
        <v>1345</v>
      </c>
      <c r="B98" s="24">
        <v>46298.0</v>
      </c>
      <c r="C98" s="13">
        <v>46298.43212962963</v>
      </c>
      <c r="D98" s="14" t="s">
        <v>662</v>
      </c>
      <c r="E98" s="14" t="s">
        <v>1347</v>
      </c>
      <c r="F98" s="14" t="s">
        <v>132</v>
      </c>
      <c r="G98" s="14" t="s">
        <v>1348</v>
      </c>
      <c r="H98" s="14" t="s">
        <v>133</v>
      </c>
      <c r="I98" s="14" t="s">
        <v>661</v>
      </c>
      <c r="J98" s="14" t="s">
        <v>362</v>
      </c>
      <c r="K98" s="14">
        <v>20.0</v>
      </c>
      <c r="L98" s="14" t="s">
        <v>791</v>
      </c>
      <c r="M98" s="14">
        <v>40.0</v>
      </c>
      <c r="N98" s="14">
        <v>800.0</v>
      </c>
      <c r="O98" s="14" t="s">
        <v>673</v>
      </c>
      <c r="P98" s="14" t="s">
        <v>674</v>
      </c>
      <c r="Q98" s="24">
        <v>46298.0</v>
      </c>
      <c r="R98" s="14" t="s">
        <v>676</v>
      </c>
    </row>
    <row r="99">
      <c r="A99" s="14" t="s">
        <v>1350</v>
      </c>
      <c r="B99" s="24">
        <v>46301.0</v>
      </c>
      <c r="C99" s="13">
        <v>46301.35605324074</v>
      </c>
      <c r="D99" s="14" t="s">
        <v>662</v>
      </c>
      <c r="E99" s="14" t="s">
        <v>1352</v>
      </c>
      <c r="F99" s="14" t="s">
        <v>132</v>
      </c>
      <c r="G99" s="14" t="s">
        <v>1353</v>
      </c>
      <c r="H99" s="14" t="s">
        <v>133</v>
      </c>
      <c r="I99" s="14" t="s">
        <v>477</v>
      </c>
      <c r="J99" s="14" t="s">
        <v>362</v>
      </c>
      <c r="K99" s="14">
        <v>10.0</v>
      </c>
      <c r="L99" s="14" t="s">
        <v>359</v>
      </c>
      <c r="M99" s="14">
        <v>150.0</v>
      </c>
      <c r="N99" s="14">
        <v>1500.0</v>
      </c>
      <c r="O99" s="14" t="s">
        <v>673</v>
      </c>
      <c r="P99" s="14" t="s">
        <v>674</v>
      </c>
      <c r="Q99" s="24">
        <v>46301.0</v>
      </c>
      <c r="R99" s="14" t="s">
        <v>676</v>
      </c>
    </row>
    <row r="100">
      <c r="A100" s="14" t="s">
        <v>1356</v>
      </c>
      <c r="B100" s="24">
        <v>46301.0</v>
      </c>
      <c r="C100" s="13">
        <v>46301.411099537036</v>
      </c>
      <c r="D100" s="14" t="s">
        <v>662</v>
      </c>
      <c r="E100" s="14" t="s">
        <v>1359</v>
      </c>
      <c r="F100" s="14" t="s">
        <v>61</v>
      </c>
      <c r="G100" s="14" t="s">
        <v>1360</v>
      </c>
      <c r="H100" s="14" t="s">
        <v>68</v>
      </c>
      <c r="I100" s="14" t="s">
        <v>995</v>
      </c>
      <c r="J100" s="14" t="s">
        <v>958</v>
      </c>
      <c r="K100" s="14">
        <v>20.0</v>
      </c>
      <c r="L100" s="14" t="s">
        <v>818</v>
      </c>
      <c r="M100" s="14">
        <v>200.0</v>
      </c>
      <c r="N100" s="14">
        <v>4000.0</v>
      </c>
      <c r="O100" s="14" t="s">
        <v>673</v>
      </c>
      <c r="P100" s="14" t="s">
        <v>674</v>
      </c>
      <c r="Q100" s="24">
        <v>46301.0</v>
      </c>
      <c r="R100" s="14" t="s">
        <v>676</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8.71"/>
    <col customWidth="1" min="2" max="2" width="38.29"/>
    <col customWidth="1" min="3" max="3" width="30.29"/>
    <col customWidth="1" min="7" max="7" width="29.43"/>
    <col customWidth="1" min="8" max="9" width="28.57"/>
    <col customWidth="1" min="10" max="10" width="19.0"/>
    <col customWidth="1" min="11" max="11" width="17.43"/>
    <col customWidth="1" min="12" max="12" width="16.57"/>
    <col customWidth="1" min="13" max="13" width="18.86"/>
    <col customWidth="1" min="14" max="14" width="48.71"/>
    <col customWidth="1" min="15" max="15" width="41.71"/>
    <col customWidth="1" min="16" max="16" width="18.57"/>
    <col customWidth="1" min="17" max="17" width="49.57"/>
    <col customWidth="1" min="18" max="20" width="18.57"/>
  </cols>
  <sheetData>
    <row r="1" ht="22.5" customHeight="1">
      <c r="A1" s="25" t="s">
        <v>1274</v>
      </c>
      <c r="B1" s="6" t="s">
        <v>1283</v>
      </c>
      <c r="C1" s="6" t="s">
        <v>1</v>
      </c>
      <c r="D1" s="6" t="s">
        <v>2</v>
      </c>
      <c r="E1" s="6" t="s">
        <v>1291</v>
      </c>
      <c r="F1" s="6" t="s">
        <v>345</v>
      </c>
      <c r="G1" s="6" t="s">
        <v>1294</v>
      </c>
      <c r="H1" s="6" t="s">
        <v>1297</v>
      </c>
      <c r="I1" s="6" t="s">
        <v>1298</v>
      </c>
      <c r="J1" s="6" t="s">
        <v>1300</v>
      </c>
      <c r="K1" s="6" t="s">
        <v>1304</v>
      </c>
      <c r="L1" s="6" t="s">
        <v>1305</v>
      </c>
      <c r="M1" s="6" t="s">
        <v>1307</v>
      </c>
      <c r="N1" s="6" t="s">
        <v>1311</v>
      </c>
      <c r="O1" s="23" t="s">
        <v>1312</v>
      </c>
      <c r="P1" s="23" t="s">
        <v>1314</v>
      </c>
      <c r="Q1" s="23" t="s">
        <v>1318</v>
      </c>
      <c r="R1" s="6" t="s">
        <v>1319</v>
      </c>
      <c r="S1" s="6" t="s">
        <v>1323</v>
      </c>
      <c r="T1" s="6" t="s">
        <v>1325</v>
      </c>
    </row>
    <row r="2" ht="22.5" customHeight="1">
      <c r="A2" s="8" t="s">
        <v>1327</v>
      </c>
      <c r="B2" s="8" t="s">
        <v>842</v>
      </c>
      <c r="C2" s="8" t="s">
        <v>128</v>
      </c>
      <c r="D2" s="8" t="s">
        <v>13</v>
      </c>
      <c r="E2" s="8">
        <v>30.0</v>
      </c>
      <c r="F2" s="8" t="s">
        <v>359</v>
      </c>
      <c r="G2" s="8">
        <v>44.0</v>
      </c>
      <c r="H2" s="8">
        <v>0.0</v>
      </c>
      <c r="I2" s="8">
        <v>0.0</v>
      </c>
      <c r="J2" s="8">
        <v>30.0</v>
      </c>
      <c r="K2" s="8" t="s">
        <v>1337</v>
      </c>
      <c r="L2" s="37">
        <v>46275.0</v>
      </c>
      <c r="M2" s="8" t="s">
        <v>1351</v>
      </c>
      <c r="N2" s="8" t="s">
        <v>1354</v>
      </c>
      <c r="O2" s="8" t="s">
        <v>1355</v>
      </c>
      <c r="P2" s="8" t="s">
        <v>1357</v>
      </c>
      <c r="Q2" s="8" t="s">
        <v>1361</v>
      </c>
      <c r="R2" s="8"/>
      <c r="S2" s="8"/>
      <c r="T2" s="8"/>
    </row>
    <row r="3" ht="22.5" customHeight="1">
      <c r="A3" s="8" t="s">
        <v>1365</v>
      </c>
      <c r="B3" s="8" t="s">
        <v>836</v>
      </c>
      <c r="C3" s="8" t="s">
        <v>50</v>
      </c>
      <c r="D3" s="8" t="s">
        <v>13</v>
      </c>
      <c r="E3" s="8">
        <v>100.0</v>
      </c>
      <c r="F3" s="8" t="s">
        <v>359</v>
      </c>
      <c r="G3" s="8">
        <v>45.0</v>
      </c>
      <c r="H3" s="8">
        <v>0.0</v>
      </c>
      <c r="I3" s="8">
        <v>0.0</v>
      </c>
      <c r="J3" s="8">
        <v>100.0</v>
      </c>
      <c r="K3" s="8" t="s">
        <v>1337</v>
      </c>
      <c r="L3" s="37">
        <v>46275.0</v>
      </c>
      <c r="M3" s="8" t="s">
        <v>1351</v>
      </c>
      <c r="N3" s="8" t="s">
        <v>1377</v>
      </c>
      <c r="O3" s="8" t="s">
        <v>1378</v>
      </c>
      <c r="P3" s="8" t="s">
        <v>1381</v>
      </c>
      <c r="Q3" s="8" t="s">
        <v>1382</v>
      </c>
      <c r="R3" s="8"/>
      <c r="S3" s="8"/>
      <c r="T3" s="8"/>
    </row>
    <row r="4" ht="22.5" customHeight="1">
      <c r="A4" s="8" t="s">
        <v>1386</v>
      </c>
      <c r="B4" s="8" t="s">
        <v>812</v>
      </c>
      <c r="C4" s="8" t="s">
        <v>428</v>
      </c>
      <c r="D4" s="8" t="s">
        <v>430</v>
      </c>
      <c r="E4" s="8">
        <v>100.0</v>
      </c>
      <c r="F4" s="8" t="s">
        <v>818</v>
      </c>
      <c r="G4" s="8">
        <v>15.0</v>
      </c>
      <c r="H4" s="8">
        <v>0.0</v>
      </c>
      <c r="I4" s="8">
        <v>0.0</v>
      </c>
      <c r="J4" s="8">
        <v>100.0</v>
      </c>
      <c r="K4" s="8" t="s">
        <v>1337</v>
      </c>
      <c r="L4" s="37">
        <v>46275.0</v>
      </c>
      <c r="M4" s="8" t="s">
        <v>1351</v>
      </c>
      <c r="N4" s="8" t="s">
        <v>1398</v>
      </c>
      <c r="O4" s="8" t="s">
        <v>1400</v>
      </c>
      <c r="P4" s="8" t="s">
        <v>1403</v>
      </c>
      <c r="Q4" s="8" t="s">
        <v>1406</v>
      </c>
      <c r="R4" s="8"/>
      <c r="S4" s="8"/>
      <c r="T4" s="8"/>
    </row>
    <row r="5" ht="22.5" customHeight="1">
      <c r="A5" s="8" t="s">
        <v>1413</v>
      </c>
      <c r="B5" s="8" t="s">
        <v>822</v>
      </c>
      <c r="C5" s="8" t="s">
        <v>435</v>
      </c>
      <c r="D5" s="8" t="s">
        <v>430</v>
      </c>
      <c r="E5" s="8">
        <v>100.0</v>
      </c>
      <c r="F5" s="8" t="s">
        <v>818</v>
      </c>
      <c r="G5" s="8">
        <v>10.0</v>
      </c>
      <c r="H5" s="8">
        <v>0.0</v>
      </c>
      <c r="I5" s="8">
        <v>0.0</v>
      </c>
      <c r="J5" s="8">
        <v>100.0</v>
      </c>
      <c r="K5" s="8" t="s">
        <v>1337</v>
      </c>
      <c r="L5" s="37">
        <v>46275.0</v>
      </c>
      <c r="M5" s="8" t="s">
        <v>1351</v>
      </c>
      <c r="N5" s="8" t="s">
        <v>1433</v>
      </c>
      <c r="O5" s="8" t="s">
        <v>1436</v>
      </c>
      <c r="P5" s="8" t="s">
        <v>1439</v>
      </c>
      <c r="Q5" s="8" t="s">
        <v>1442</v>
      </c>
      <c r="R5" s="8"/>
      <c r="S5" s="8"/>
      <c r="T5" s="8"/>
    </row>
    <row r="6" ht="22.5" customHeight="1">
      <c r="A6" s="8" t="s">
        <v>1451</v>
      </c>
      <c r="B6" s="8" t="s">
        <v>829</v>
      </c>
      <c r="C6" s="8" t="s">
        <v>440</v>
      </c>
      <c r="D6" s="8" t="s">
        <v>430</v>
      </c>
      <c r="E6" s="8">
        <v>100.0</v>
      </c>
      <c r="F6" s="8" t="s">
        <v>818</v>
      </c>
      <c r="G6" s="8">
        <v>12.0</v>
      </c>
      <c r="H6" s="8">
        <v>0.0</v>
      </c>
      <c r="I6" s="8">
        <v>0.0</v>
      </c>
      <c r="J6" s="8">
        <v>100.0</v>
      </c>
      <c r="K6" s="8" t="s">
        <v>1337</v>
      </c>
      <c r="L6" s="37">
        <v>46275.0</v>
      </c>
      <c r="M6" s="8" t="s">
        <v>1351</v>
      </c>
      <c r="N6" s="8" t="s">
        <v>1467</v>
      </c>
      <c r="O6" s="8" t="s">
        <v>1469</v>
      </c>
      <c r="P6" s="8" t="s">
        <v>1471</v>
      </c>
      <c r="Q6" s="8" t="s">
        <v>1474</v>
      </c>
      <c r="R6" s="8"/>
      <c r="S6" s="8"/>
      <c r="T6" s="8"/>
    </row>
    <row r="7" ht="22.5" customHeight="1">
      <c r="A7" s="8" t="s">
        <v>1481</v>
      </c>
      <c r="B7" s="8" t="s">
        <v>806</v>
      </c>
      <c r="C7" s="8" t="s">
        <v>382</v>
      </c>
      <c r="D7" s="8" t="s">
        <v>362</v>
      </c>
      <c r="E7" s="8">
        <v>100.0</v>
      </c>
      <c r="F7" s="8" t="s">
        <v>791</v>
      </c>
      <c r="G7" s="8">
        <v>5.0</v>
      </c>
      <c r="H7" s="8">
        <v>0.0</v>
      </c>
      <c r="I7" s="8">
        <v>0.0</v>
      </c>
      <c r="J7" s="8">
        <v>100.0</v>
      </c>
      <c r="K7" s="8" t="s">
        <v>1337</v>
      </c>
      <c r="L7" s="37">
        <v>46275.0</v>
      </c>
      <c r="M7" s="8" t="s">
        <v>1351</v>
      </c>
      <c r="N7" s="8" t="s">
        <v>1499</v>
      </c>
      <c r="O7" s="8" t="s">
        <v>1501</v>
      </c>
      <c r="P7" s="8" t="s">
        <v>1504</v>
      </c>
      <c r="Q7" s="8" t="s">
        <v>1506</v>
      </c>
      <c r="R7" s="8"/>
      <c r="S7" s="8"/>
      <c r="T7" s="8"/>
    </row>
    <row r="8" ht="22.5" customHeight="1">
      <c r="A8" s="8" t="s">
        <v>1513</v>
      </c>
      <c r="B8" s="8" t="s">
        <v>796</v>
      </c>
      <c r="C8" s="8" t="s">
        <v>397</v>
      </c>
      <c r="D8" s="8" t="s">
        <v>362</v>
      </c>
      <c r="E8" s="8">
        <v>10.0</v>
      </c>
      <c r="F8" s="8" t="s">
        <v>359</v>
      </c>
      <c r="G8" s="8">
        <v>149.0</v>
      </c>
      <c r="H8" s="8">
        <v>0.0</v>
      </c>
      <c r="I8" s="8">
        <v>0.0</v>
      </c>
      <c r="J8" s="8">
        <v>10.0</v>
      </c>
      <c r="K8" s="8" t="s">
        <v>1521</v>
      </c>
      <c r="L8" s="37">
        <v>46275.0</v>
      </c>
      <c r="M8" s="8" t="s">
        <v>1351</v>
      </c>
      <c r="N8" s="8" t="s">
        <v>1526</v>
      </c>
      <c r="O8" s="8" t="s">
        <v>1528</v>
      </c>
      <c r="P8" s="8" t="s">
        <v>1531</v>
      </c>
      <c r="Q8" s="8" t="s">
        <v>1532</v>
      </c>
      <c r="R8" s="8"/>
      <c r="S8" s="8"/>
      <c r="T8" s="8"/>
    </row>
    <row r="9" ht="22.5" customHeight="1">
      <c r="A9" s="8" t="s">
        <v>1539</v>
      </c>
      <c r="B9" s="8" t="s">
        <v>762</v>
      </c>
      <c r="C9" s="8" t="s">
        <v>406</v>
      </c>
      <c r="D9" s="8" t="s">
        <v>362</v>
      </c>
      <c r="E9" s="8">
        <v>70.0</v>
      </c>
      <c r="F9" s="8" t="s">
        <v>791</v>
      </c>
      <c r="G9" s="8">
        <v>27.0</v>
      </c>
      <c r="H9" s="8">
        <v>0.0</v>
      </c>
      <c r="I9" s="8">
        <v>0.0</v>
      </c>
      <c r="J9" s="8">
        <v>70.0</v>
      </c>
      <c r="K9" s="8" t="s">
        <v>1337</v>
      </c>
      <c r="L9" s="37">
        <v>46275.0</v>
      </c>
      <c r="M9" s="8" t="s">
        <v>1351</v>
      </c>
      <c r="N9" s="8" t="s">
        <v>1568</v>
      </c>
      <c r="O9" s="8" t="s">
        <v>1572</v>
      </c>
      <c r="P9" s="8" t="s">
        <v>1574</v>
      </c>
      <c r="Q9" s="8" t="s">
        <v>1578</v>
      </c>
      <c r="R9" s="8"/>
      <c r="S9" s="8"/>
      <c r="T9" s="8"/>
    </row>
    <row r="10" ht="22.5" customHeight="1">
      <c r="A10" s="8" t="s">
        <v>1590</v>
      </c>
      <c r="B10" s="8" t="s">
        <v>755</v>
      </c>
      <c r="C10" s="8" t="s">
        <v>204</v>
      </c>
      <c r="D10" s="8" t="s">
        <v>13</v>
      </c>
      <c r="E10" s="8">
        <v>40.0</v>
      </c>
      <c r="F10" s="8" t="s">
        <v>359</v>
      </c>
      <c r="G10" s="8">
        <v>43.0</v>
      </c>
      <c r="H10" s="8">
        <v>0.0</v>
      </c>
      <c r="I10" s="8">
        <v>0.0</v>
      </c>
      <c r="J10" s="8">
        <v>40.0</v>
      </c>
      <c r="K10" s="8" t="s">
        <v>1337</v>
      </c>
      <c r="L10" s="37">
        <v>46275.0</v>
      </c>
      <c r="M10" s="8" t="s">
        <v>1351</v>
      </c>
      <c r="N10" s="8" t="s">
        <v>1622</v>
      </c>
      <c r="O10" s="8" t="s">
        <v>1626</v>
      </c>
      <c r="P10" s="8" t="s">
        <v>1630</v>
      </c>
      <c r="Q10" s="8" t="s">
        <v>1633</v>
      </c>
      <c r="R10" s="8"/>
      <c r="S10" s="8"/>
      <c r="T10" s="8"/>
    </row>
    <row r="11" ht="22.5" customHeight="1">
      <c r="A11" s="8" t="s">
        <v>1643</v>
      </c>
      <c r="B11" s="8" t="s">
        <v>744</v>
      </c>
      <c r="C11" s="8" t="s">
        <v>12</v>
      </c>
      <c r="D11" s="8" t="s">
        <v>13</v>
      </c>
      <c r="E11" s="8">
        <v>100.0</v>
      </c>
      <c r="F11" s="8" t="s">
        <v>359</v>
      </c>
      <c r="G11" s="8">
        <v>41.0</v>
      </c>
      <c r="H11" s="8">
        <v>0.0</v>
      </c>
      <c r="I11" s="8">
        <v>0.0</v>
      </c>
      <c r="J11" s="8">
        <v>100.0</v>
      </c>
      <c r="K11" s="8" t="s">
        <v>1337</v>
      </c>
      <c r="L11" s="37">
        <v>46275.0</v>
      </c>
      <c r="M11" s="8" t="s">
        <v>1351</v>
      </c>
      <c r="N11" s="8" t="s">
        <v>1669</v>
      </c>
      <c r="O11" s="8" t="s">
        <v>1671</v>
      </c>
      <c r="P11" s="8" t="s">
        <v>1673</v>
      </c>
      <c r="Q11" s="8" t="s">
        <v>1675</v>
      </c>
      <c r="R11" s="8"/>
      <c r="S11" s="8"/>
      <c r="T11" s="8"/>
    </row>
    <row r="12" ht="22.5" customHeight="1">
      <c r="A12" s="8" t="s">
        <v>1683</v>
      </c>
      <c r="B12" s="8" t="s">
        <v>730</v>
      </c>
      <c r="C12" s="8" t="s">
        <v>190</v>
      </c>
      <c r="D12" s="8" t="s">
        <v>13</v>
      </c>
      <c r="E12" s="8">
        <v>70.0</v>
      </c>
      <c r="F12" s="8" t="s">
        <v>359</v>
      </c>
      <c r="G12" s="8">
        <v>44.0</v>
      </c>
      <c r="H12" s="8">
        <v>0.0</v>
      </c>
      <c r="I12" s="8">
        <v>0.0</v>
      </c>
      <c r="J12" s="8">
        <v>70.0</v>
      </c>
      <c r="K12" s="8" t="s">
        <v>1337</v>
      </c>
      <c r="L12" s="37">
        <v>46275.0</v>
      </c>
      <c r="M12" s="8" t="s">
        <v>1351</v>
      </c>
      <c r="N12" s="8" t="s">
        <v>1706</v>
      </c>
      <c r="O12" s="8" t="s">
        <v>1709</v>
      </c>
      <c r="P12" s="8" t="s">
        <v>1712</v>
      </c>
      <c r="Q12" s="8" t="s">
        <v>1714</v>
      </c>
      <c r="R12" s="8"/>
      <c r="S12" s="8"/>
      <c r="T12" s="8"/>
    </row>
    <row r="13" ht="22.5" customHeight="1">
      <c r="A13" s="8" t="s">
        <v>1722</v>
      </c>
      <c r="B13" s="8" t="s">
        <v>705</v>
      </c>
      <c r="C13" s="8" t="s">
        <v>59</v>
      </c>
      <c r="D13" s="8" t="s">
        <v>13</v>
      </c>
      <c r="E13" s="8">
        <v>40.0</v>
      </c>
      <c r="F13" s="8" t="s">
        <v>359</v>
      </c>
      <c r="G13" s="8">
        <v>60.0</v>
      </c>
      <c r="H13" s="8">
        <v>0.0</v>
      </c>
      <c r="I13" s="8">
        <v>0.0</v>
      </c>
      <c r="J13" s="8">
        <v>40.0</v>
      </c>
      <c r="K13" s="8" t="s">
        <v>1337</v>
      </c>
      <c r="L13" s="37">
        <v>46275.0</v>
      </c>
      <c r="M13" s="8" t="s">
        <v>1351</v>
      </c>
      <c r="N13" s="8" t="s">
        <v>1740</v>
      </c>
      <c r="O13" s="8" t="s">
        <v>1741</v>
      </c>
      <c r="P13" s="8" t="s">
        <v>1742</v>
      </c>
      <c r="Q13" s="8" t="s">
        <v>1743</v>
      </c>
      <c r="R13" s="8"/>
      <c r="S13" s="8"/>
      <c r="T13" s="8"/>
    </row>
    <row r="14" ht="22.5" customHeight="1">
      <c r="A14" s="8" t="s">
        <v>1746</v>
      </c>
      <c r="B14" s="8" t="s">
        <v>699</v>
      </c>
      <c r="C14" s="8" t="s">
        <v>83</v>
      </c>
      <c r="D14" s="8" t="s">
        <v>13</v>
      </c>
      <c r="E14" s="8">
        <v>40.0</v>
      </c>
      <c r="F14" s="8" t="s">
        <v>359</v>
      </c>
      <c r="G14" s="8">
        <v>69.0</v>
      </c>
      <c r="H14" s="8">
        <v>0.0</v>
      </c>
      <c r="I14" s="8">
        <v>0.0</v>
      </c>
      <c r="J14" s="8">
        <v>40.0</v>
      </c>
      <c r="K14" s="8" t="s">
        <v>1337</v>
      </c>
      <c r="L14" s="37">
        <v>46275.0</v>
      </c>
      <c r="M14" s="8" t="s">
        <v>1351</v>
      </c>
      <c r="N14" s="8" t="s">
        <v>1755</v>
      </c>
      <c r="O14" s="8" t="s">
        <v>1756</v>
      </c>
      <c r="P14" s="8" t="s">
        <v>1758</v>
      </c>
      <c r="Q14" s="8" t="s">
        <v>1762</v>
      </c>
      <c r="R14" s="8"/>
      <c r="S14" s="8"/>
      <c r="T14" s="8"/>
    </row>
    <row r="15" ht="22.5" customHeight="1">
      <c r="A15" s="8" t="s">
        <v>1765</v>
      </c>
      <c r="B15" s="8" t="s">
        <v>691</v>
      </c>
      <c r="C15" s="8" t="s">
        <v>28</v>
      </c>
      <c r="D15" s="8" t="s">
        <v>13</v>
      </c>
      <c r="E15" s="8">
        <v>69.0</v>
      </c>
      <c r="F15" s="8" t="s">
        <v>359</v>
      </c>
      <c r="G15" s="8">
        <v>48.0</v>
      </c>
      <c r="H15" s="8">
        <v>0.0</v>
      </c>
      <c r="I15" s="8">
        <v>0.0</v>
      </c>
      <c r="J15" s="8">
        <v>69.0</v>
      </c>
      <c r="K15" s="8" t="s">
        <v>1337</v>
      </c>
      <c r="L15" s="37">
        <v>46275.0</v>
      </c>
      <c r="M15" s="8" t="s">
        <v>1351</v>
      </c>
      <c r="N15" s="8" t="s">
        <v>1771</v>
      </c>
      <c r="O15" s="8" t="s">
        <v>1772</v>
      </c>
      <c r="P15" s="8" t="s">
        <v>1712</v>
      </c>
      <c r="Q15" s="8" t="s">
        <v>1714</v>
      </c>
      <c r="R15" s="8"/>
      <c r="S15" s="8"/>
      <c r="T15" s="8"/>
    </row>
    <row r="16" ht="22.5" customHeight="1">
      <c r="A16" s="8" t="s">
        <v>1744</v>
      </c>
      <c r="B16" s="8" t="s">
        <v>678</v>
      </c>
      <c r="C16" s="8" t="s">
        <v>144</v>
      </c>
      <c r="D16" s="8" t="s">
        <v>13</v>
      </c>
      <c r="E16" s="8">
        <v>50.0</v>
      </c>
      <c r="F16" s="8" t="s">
        <v>791</v>
      </c>
      <c r="G16" s="8">
        <v>33.0</v>
      </c>
      <c r="H16" s="8">
        <v>0.0</v>
      </c>
      <c r="I16" s="8">
        <v>0.0</v>
      </c>
      <c r="J16" s="8">
        <v>50.0</v>
      </c>
      <c r="K16" s="8" t="s">
        <v>1337</v>
      </c>
      <c r="L16" s="37">
        <v>46275.0</v>
      </c>
      <c r="M16" s="8" t="s">
        <v>1351</v>
      </c>
      <c r="N16" s="8" t="s">
        <v>1785</v>
      </c>
      <c r="O16" s="8" t="s">
        <v>1787</v>
      </c>
      <c r="P16" s="8" t="s">
        <v>1630</v>
      </c>
      <c r="Q16" s="8" t="s">
        <v>1633</v>
      </c>
      <c r="R16" s="8"/>
      <c r="S16" s="8"/>
      <c r="T16" s="8"/>
    </row>
    <row r="17" ht="22.5" customHeight="1">
      <c r="A17" s="8" t="s">
        <v>1789</v>
      </c>
      <c r="B17" s="8" t="s">
        <v>660</v>
      </c>
      <c r="C17" s="8" t="s">
        <v>159</v>
      </c>
      <c r="D17" s="8" t="s">
        <v>13</v>
      </c>
      <c r="E17" s="8">
        <v>80.0</v>
      </c>
      <c r="F17" s="8" t="s">
        <v>359</v>
      </c>
      <c r="G17" s="8">
        <v>45.0</v>
      </c>
      <c r="H17" s="8">
        <v>0.0</v>
      </c>
      <c r="I17" s="8">
        <v>0.0</v>
      </c>
      <c r="J17" s="8">
        <v>80.0</v>
      </c>
      <c r="K17" s="8" t="s">
        <v>1337</v>
      </c>
      <c r="L17" s="37">
        <v>46275.0</v>
      </c>
      <c r="M17" s="8" t="s">
        <v>1351</v>
      </c>
      <c r="N17" s="8" t="s">
        <v>1792</v>
      </c>
      <c r="O17" s="8" t="s">
        <v>1793</v>
      </c>
      <c r="P17" s="8" t="s">
        <v>1794</v>
      </c>
      <c r="Q17" s="8" t="s">
        <v>1382</v>
      </c>
      <c r="R17" s="8"/>
      <c r="S17" s="8"/>
      <c r="T17" s="8"/>
    </row>
    <row r="18" ht="22.5" customHeight="1">
      <c r="A18" s="8" t="s">
        <v>1795</v>
      </c>
      <c r="B18" s="8" t="s">
        <v>1141</v>
      </c>
      <c r="C18" s="8" t="s">
        <v>710</v>
      </c>
      <c r="D18" s="8" t="s">
        <v>712</v>
      </c>
      <c r="E18" s="8">
        <v>5.0</v>
      </c>
      <c r="F18" s="8" t="s">
        <v>1139</v>
      </c>
      <c r="G18" s="8">
        <v>89.0</v>
      </c>
      <c r="H18" s="8">
        <v>0.0</v>
      </c>
      <c r="I18" s="8">
        <v>0.0</v>
      </c>
      <c r="J18" s="8">
        <v>5.0</v>
      </c>
      <c r="K18" s="8" t="s">
        <v>1337</v>
      </c>
      <c r="L18" s="37">
        <v>46276.0</v>
      </c>
      <c r="M18" s="8" t="s">
        <v>1351</v>
      </c>
      <c r="N18" s="8" t="s">
        <v>1796</v>
      </c>
      <c r="O18" s="8" t="s">
        <v>1797</v>
      </c>
      <c r="P18" s="8" t="s">
        <v>1798</v>
      </c>
      <c r="Q18" s="8" t="s">
        <v>1799</v>
      </c>
    </row>
    <row r="19" ht="22.5" customHeight="1">
      <c r="A19" s="8" t="s">
        <v>1800</v>
      </c>
      <c r="B19" s="8" t="s">
        <v>881</v>
      </c>
      <c r="C19" s="8" t="s">
        <v>213</v>
      </c>
      <c r="D19" s="8" t="s">
        <v>13</v>
      </c>
      <c r="E19" s="8">
        <v>20.0</v>
      </c>
      <c r="F19" s="8" t="s">
        <v>359</v>
      </c>
      <c r="G19" s="8">
        <v>54.0</v>
      </c>
      <c r="H19" s="8">
        <v>0.0</v>
      </c>
      <c r="I19" s="8">
        <v>0.0</v>
      </c>
      <c r="J19" s="8">
        <v>20.0</v>
      </c>
      <c r="K19" s="8" t="s">
        <v>1337</v>
      </c>
      <c r="L19" s="37">
        <v>46276.0</v>
      </c>
      <c r="M19" s="8" t="s">
        <v>1351</v>
      </c>
      <c r="N19" s="8" t="s">
        <v>1803</v>
      </c>
      <c r="O19" s="8" t="s">
        <v>1805</v>
      </c>
      <c r="P19" s="8" t="s">
        <v>1807</v>
      </c>
      <c r="Q19" s="8" t="s">
        <v>1382</v>
      </c>
    </row>
    <row r="20" ht="22.5" customHeight="1">
      <c r="A20" s="8" t="s">
        <v>1791</v>
      </c>
      <c r="B20" s="8" t="s">
        <v>871</v>
      </c>
      <c r="C20" s="8" t="s">
        <v>221</v>
      </c>
      <c r="D20" s="8" t="s">
        <v>13</v>
      </c>
      <c r="E20" s="8">
        <v>20.0</v>
      </c>
      <c r="F20" s="8" t="s">
        <v>359</v>
      </c>
      <c r="G20" s="8">
        <v>45.0</v>
      </c>
      <c r="H20" s="8">
        <v>0.0</v>
      </c>
      <c r="I20" s="8">
        <v>0.0</v>
      </c>
      <c r="J20" s="8">
        <v>20.0</v>
      </c>
      <c r="K20" s="8" t="s">
        <v>1337</v>
      </c>
      <c r="L20" s="37">
        <v>46276.0</v>
      </c>
      <c r="M20" s="8" t="s">
        <v>1351</v>
      </c>
      <c r="N20" s="8" t="s">
        <v>1816</v>
      </c>
      <c r="O20" s="8" t="s">
        <v>1818</v>
      </c>
      <c r="P20" s="8" t="s">
        <v>1820</v>
      </c>
      <c r="Q20" s="8" t="s">
        <v>1821</v>
      </c>
    </row>
    <row r="21" ht="22.5" customHeight="1">
      <c r="A21" s="8" t="s">
        <v>1768</v>
      </c>
      <c r="B21" s="8" t="s">
        <v>1041</v>
      </c>
      <c r="C21" s="8" t="s">
        <v>403</v>
      </c>
      <c r="D21" s="8" t="s">
        <v>362</v>
      </c>
      <c r="E21" s="8">
        <v>10.0</v>
      </c>
      <c r="F21" s="8" t="s">
        <v>791</v>
      </c>
      <c r="G21" s="8">
        <v>26.0</v>
      </c>
      <c r="H21" s="8">
        <v>0.0</v>
      </c>
      <c r="I21" s="8">
        <v>0.0</v>
      </c>
      <c r="J21" s="8">
        <v>10.0</v>
      </c>
      <c r="K21" s="8" t="s">
        <v>1337</v>
      </c>
      <c r="L21" s="37">
        <v>46276.0</v>
      </c>
      <c r="M21" s="8" t="s">
        <v>1351</v>
      </c>
      <c r="N21" s="8" t="s">
        <v>1824</v>
      </c>
      <c r="O21" s="8" t="s">
        <v>1825</v>
      </c>
      <c r="P21" s="8" t="s">
        <v>1827</v>
      </c>
      <c r="Q21" s="8" t="s">
        <v>1829</v>
      </c>
    </row>
    <row r="22" ht="22.5" customHeight="1">
      <c r="A22" s="8" t="s">
        <v>1830</v>
      </c>
      <c r="B22" s="8" t="s">
        <v>1039</v>
      </c>
      <c r="C22" s="8" t="s">
        <v>390</v>
      </c>
      <c r="D22" s="8" t="s">
        <v>362</v>
      </c>
      <c r="E22" s="8">
        <v>10.0</v>
      </c>
      <c r="F22" s="8" t="s">
        <v>791</v>
      </c>
      <c r="G22" s="8">
        <v>39.0</v>
      </c>
      <c r="H22" s="8">
        <v>0.0</v>
      </c>
      <c r="I22" s="8">
        <v>0.0</v>
      </c>
      <c r="J22" s="8">
        <v>10.0</v>
      </c>
      <c r="K22" s="8" t="s">
        <v>1337</v>
      </c>
      <c r="L22" s="37">
        <v>46276.0</v>
      </c>
      <c r="M22" s="8" t="s">
        <v>1351</v>
      </c>
      <c r="N22" s="8" t="s">
        <v>1838</v>
      </c>
      <c r="O22" s="8" t="s">
        <v>1840</v>
      </c>
      <c r="P22" s="8" t="s">
        <v>1841</v>
      </c>
      <c r="Q22" s="8" t="s">
        <v>1842</v>
      </c>
    </row>
    <row r="23" ht="22.5" customHeight="1">
      <c r="A23" s="8" t="s">
        <v>1844</v>
      </c>
      <c r="B23" s="8" t="s">
        <v>862</v>
      </c>
      <c r="C23" s="8" t="s">
        <v>93</v>
      </c>
      <c r="D23" s="8" t="s">
        <v>13</v>
      </c>
      <c r="E23" s="8">
        <v>20.0</v>
      </c>
      <c r="F23" s="8" t="s">
        <v>359</v>
      </c>
      <c r="G23" s="25">
        <v>47.0</v>
      </c>
      <c r="H23" s="8">
        <v>0.0</v>
      </c>
      <c r="I23" s="8">
        <v>0.0</v>
      </c>
      <c r="J23" s="8">
        <v>20.0</v>
      </c>
      <c r="K23" s="8" t="s">
        <v>1337</v>
      </c>
      <c r="L23" s="37">
        <v>46276.0</v>
      </c>
      <c r="M23" s="8" t="s">
        <v>1351</v>
      </c>
      <c r="N23" s="8" t="s">
        <v>1848</v>
      </c>
      <c r="O23" s="8" t="s">
        <v>1849</v>
      </c>
      <c r="P23" s="8" t="s">
        <v>1850</v>
      </c>
      <c r="Q23" s="8" t="s">
        <v>1852</v>
      </c>
    </row>
    <row r="24" ht="22.5" customHeight="1">
      <c r="A24" s="8" t="s">
        <v>1853</v>
      </c>
      <c r="B24" s="8" t="s">
        <v>1045</v>
      </c>
      <c r="C24" s="8" t="s">
        <v>433</v>
      </c>
      <c r="D24" s="8" t="s">
        <v>362</v>
      </c>
      <c r="E24" s="8">
        <v>10.0</v>
      </c>
      <c r="F24" s="8" t="s">
        <v>791</v>
      </c>
      <c r="G24" s="25">
        <v>10.0</v>
      </c>
      <c r="H24" s="8">
        <v>0.0</v>
      </c>
      <c r="I24" s="8">
        <v>0.0</v>
      </c>
      <c r="J24" s="8">
        <v>10.0</v>
      </c>
      <c r="K24" s="8" t="s">
        <v>1521</v>
      </c>
      <c r="L24" s="37">
        <v>46276.0</v>
      </c>
      <c r="M24" s="8" t="s">
        <v>1351</v>
      </c>
      <c r="N24" s="8" t="s">
        <v>1857</v>
      </c>
      <c r="O24" s="8" t="s">
        <v>1859</v>
      </c>
      <c r="P24" s="8" t="s">
        <v>1860</v>
      </c>
      <c r="Q24" s="8" t="s">
        <v>1862</v>
      </c>
    </row>
    <row r="25" ht="22.5" customHeight="1">
      <c r="A25" s="8" t="s">
        <v>1865</v>
      </c>
      <c r="B25" s="8" t="s">
        <v>1057</v>
      </c>
      <c r="C25" s="8" t="s">
        <v>471</v>
      </c>
      <c r="D25" s="8" t="s">
        <v>430</v>
      </c>
      <c r="E25" s="8">
        <v>10.0</v>
      </c>
      <c r="F25" s="8" t="s">
        <v>818</v>
      </c>
      <c r="G25" s="8">
        <v>12.0</v>
      </c>
      <c r="H25" s="8">
        <v>0.0</v>
      </c>
      <c r="I25" s="8">
        <v>0.0</v>
      </c>
      <c r="J25" s="8">
        <v>10.0</v>
      </c>
      <c r="K25" s="8" t="s">
        <v>1337</v>
      </c>
      <c r="L25" s="37">
        <v>46276.0</v>
      </c>
      <c r="M25" s="8" t="s">
        <v>1351</v>
      </c>
      <c r="N25" s="8" t="s">
        <v>1869</v>
      </c>
      <c r="O25" s="8" t="s">
        <v>1870</v>
      </c>
      <c r="P25" s="8" t="s">
        <v>1742</v>
      </c>
      <c r="Q25" s="8" t="s">
        <v>1871</v>
      </c>
    </row>
    <row r="26" ht="22.5" customHeight="1">
      <c r="A26" s="8" t="s">
        <v>1872</v>
      </c>
      <c r="B26" s="8" t="s">
        <v>848</v>
      </c>
      <c r="C26" s="8" t="s">
        <v>165</v>
      </c>
      <c r="D26" s="8" t="s">
        <v>13</v>
      </c>
      <c r="E26" s="8">
        <v>10.0</v>
      </c>
      <c r="F26" s="8" t="s">
        <v>791</v>
      </c>
      <c r="G26" s="8">
        <v>90.0</v>
      </c>
      <c r="H26" s="8">
        <v>0.0</v>
      </c>
      <c r="I26" s="8">
        <v>0.0</v>
      </c>
      <c r="J26" s="8">
        <v>10.0</v>
      </c>
      <c r="K26" s="8" t="s">
        <v>1337</v>
      </c>
      <c r="L26" s="37">
        <v>46276.0</v>
      </c>
      <c r="M26" s="8" t="s">
        <v>1351</v>
      </c>
      <c r="N26" s="8" t="s">
        <v>1874</v>
      </c>
      <c r="O26" s="8" t="s">
        <v>1876</v>
      </c>
      <c r="P26" s="8" t="s">
        <v>1877</v>
      </c>
      <c r="Q26" s="8" t="s">
        <v>1878</v>
      </c>
    </row>
    <row r="27" ht="22.5" customHeight="1">
      <c r="A27" s="8" t="s">
        <v>1769</v>
      </c>
      <c r="B27" s="8" t="s">
        <v>905</v>
      </c>
      <c r="C27" s="8" t="s">
        <v>184</v>
      </c>
      <c r="D27" s="8" t="s">
        <v>13</v>
      </c>
      <c r="E27" s="8">
        <v>10.0</v>
      </c>
      <c r="F27" s="8" t="s">
        <v>818</v>
      </c>
      <c r="G27" s="8">
        <v>33.0</v>
      </c>
      <c r="H27" s="8">
        <v>0.0</v>
      </c>
      <c r="I27" s="8">
        <v>0.0</v>
      </c>
      <c r="J27" s="8">
        <v>10.0</v>
      </c>
      <c r="K27" s="8" t="s">
        <v>1337</v>
      </c>
      <c r="L27" s="37">
        <v>46276.0</v>
      </c>
      <c r="M27" s="8" t="s">
        <v>1351</v>
      </c>
      <c r="N27" s="8" t="s">
        <v>1881</v>
      </c>
      <c r="O27" s="8" t="s">
        <v>1882</v>
      </c>
      <c r="P27" s="8" t="s">
        <v>1883</v>
      </c>
      <c r="Q27" s="8" t="s">
        <v>1884</v>
      </c>
    </row>
    <row r="28" ht="22.5" customHeight="1">
      <c r="A28" s="8" t="s">
        <v>1885</v>
      </c>
      <c r="B28" s="8" t="s">
        <v>935</v>
      </c>
      <c r="C28" s="8" t="s">
        <v>41</v>
      </c>
      <c r="D28" s="8" t="s">
        <v>13</v>
      </c>
      <c r="E28" s="8">
        <v>50.0</v>
      </c>
      <c r="F28" s="6" t="s">
        <v>359</v>
      </c>
      <c r="G28" s="8">
        <v>84.0</v>
      </c>
      <c r="H28" s="8">
        <v>0.0</v>
      </c>
      <c r="I28" s="8">
        <v>0.0</v>
      </c>
      <c r="J28" s="8">
        <v>50.0</v>
      </c>
      <c r="K28" s="8" t="s">
        <v>1337</v>
      </c>
      <c r="L28" s="37">
        <v>46276.0</v>
      </c>
      <c r="M28" s="8" t="s">
        <v>1351</v>
      </c>
      <c r="N28" s="8" t="s">
        <v>1886</v>
      </c>
      <c r="O28" s="8" t="s">
        <v>1887</v>
      </c>
      <c r="P28" s="8" t="s">
        <v>1888</v>
      </c>
      <c r="Q28" s="8" t="s">
        <v>1889</v>
      </c>
    </row>
    <row r="29" ht="22.5" customHeight="1">
      <c r="A29" s="8" t="s">
        <v>1868</v>
      </c>
      <c r="B29" s="8" t="s">
        <v>944</v>
      </c>
      <c r="C29" s="8" t="s">
        <v>313</v>
      </c>
      <c r="D29" s="8" t="s">
        <v>13</v>
      </c>
      <c r="E29" s="8">
        <v>50.0</v>
      </c>
      <c r="F29" s="8" t="s">
        <v>359</v>
      </c>
      <c r="G29" s="8">
        <v>63.0</v>
      </c>
      <c r="H29" s="8">
        <v>0.0</v>
      </c>
      <c r="I29" s="8">
        <v>0.0</v>
      </c>
      <c r="J29" s="8">
        <v>50.0</v>
      </c>
      <c r="K29" s="8" t="s">
        <v>1337</v>
      </c>
      <c r="L29" s="37">
        <v>46276.0</v>
      </c>
      <c r="M29" s="8" t="s">
        <v>1351</v>
      </c>
      <c r="N29" s="8" t="s">
        <v>1890</v>
      </c>
      <c r="O29" s="8" t="s">
        <v>1891</v>
      </c>
      <c r="P29" s="8" t="s">
        <v>1892</v>
      </c>
      <c r="Q29" s="8" t="s">
        <v>1893</v>
      </c>
    </row>
    <row r="30" ht="22.5" customHeight="1">
      <c r="A30" s="8" t="s">
        <v>1754</v>
      </c>
      <c r="B30" s="8" t="s">
        <v>1009</v>
      </c>
      <c r="C30" s="8" t="s">
        <v>518</v>
      </c>
      <c r="D30" s="8" t="s">
        <v>465</v>
      </c>
      <c r="E30" s="8">
        <v>20.0</v>
      </c>
      <c r="F30" s="8" t="s">
        <v>818</v>
      </c>
      <c r="G30" s="8">
        <v>24.0</v>
      </c>
      <c r="H30" s="8">
        <v>0.0</v>
      </c>
      <c r="I30" s="8">
        <v>0.0</v>
      </c>
      <c r="J30" s="8">
        <v>20.0</v>
      </c>
      <c r="K30" s="8" t="s">
        <v>1337</v>
      </c>
      <c r="L30" s="37">
        <v>46276.0</v>
      </c>
      <c r="M30" s="8" t="s">
        <v>1351</v>
      </c>
      <c r="N30" s="8" t="s">
        <v>1894</v>
      </c>
      <c r="O30" s="8" t="s">
        <v>1895</v>
      </c>
      <c r="P30" s="8" t="s">
        <v>1896</v>
      </c>
      <c r="Q30" s="8" t="s">
        <v>1897</v>
      </c>
    </row>
    <row r="31" ht="22.5" customHeight="1">
      <c r="A31" s="8" t="s">
        <v>1750</v>
      </c>
      <c r="B31" s="8" t="s">
        <v>1018</v>
      </c>
      <c r="C31" s="8" t="s">
        <v>511</v>
      </c>
      <c r="D31" s="8" t="s">
        <v>465</v>
      </c>
      <c r="E31" s="8">
        <v>10.0</v>
      </c>
      <c r="F31" s="8" t="s">
        <v>818</v>
      </c>
      <c r="G31" s="8">
        <v>13.0</v>
      </c>
      <c r="H31" s="8">
        <v>0.0</v>
      </c>
      <c r="I31" s="8">
        <v>0.0</v>
      </c>
      <c r="J31" s="8">
        <v>10.0</v>
      </c>
      <c r="K31" s="8" t="s">
        <v>1337</v>
      </c>
      <c r="L31" s="37">
        <v>46276.0</v>
      </c>
      <c r="M31" s="8" t="s">
        <v>1351</v>
      </c>
      <c r="N31" s="8" t="s">
        <v>1898</v>
      </c>
      <c r="O31" s="8" t="s">
        <v>1899</v>
      </c>
      <c r="P31" s="8" t="s">
        <v>1900</v>
      </c>
      <c r="Q31" s="8" t="s">
        <v>1901</v>
      </c>
    </row>
    <row r="32" ht="22.5" customHeight="1">
      <c r="A32" s="8" t="s">
        <v>1902</v>
      </c>
      <c r="B32" s="8" t="s">
        <v>1023</v>
      </c>
      <c r="C32" s="8" t="s">
        <v>501</v>
      </c>
      <c r="D32" s="8" t="s">
        <v>465</v>
      </c>
      <c r="E32" s="8">
        <v>30.0</v>
      </c>
      <c r="F32" s="8" t="s">
        <v>818</v>
      </c>
      <c r="G32" s="8">
        <v>19.0</v>
      </c>
      <c r="H32" s="8">
        <v>0.0</v>
      </c>
      <c r="I32" s="8">
        <v>0.0</v>
      </c>
      <c r="J32" s="8">
        <v>30.0</v>
      </c>
      <c r="K32" s="8" t="s">
        <v>1337</v>
      </c>
      <c r="L32" s="37">
        <v>46276.0</v>
      </c>
      <c r="M32" s="8" t="s">
        <v>1351</v>
      </c>
      <c r="N32" s="8" t="s">
        <v>1903</v>
      </c>
      <c r="O32" s="8" t="s">
        <v>1904</v>
      </c>
      <c r="P32" s="8" t="s">
        <v>1905</v>
      </c>
      <c r="Q32" s="8" t="s">
        <v>1906</v>
      </c>
    </row>
    <row r="33" ht="22.5" customHeight="1">
      <c r="A33" s="8" t="s">
        <v>1764</v>
      </c>
      <c r="B33" s="8" t="s">
        <v>1028</v>
      </c>
      <c r="C33" s="8" t="s">
        <v>495</v>
      </c>
      <c r="D33" s="8" t="s">
        <v>465</v>
      </c>
      <c r="E33" s="8">
        <v>20.0</v>
      </c>
      <c r="F33" s="8" t="s">
        <v>818</v>
      </c>
      <c r="G33" s="8">
        <v>26.0</v>
      </c>
      <c r="H33" s="8">
        <v>0.0</v>
      </c>
      <c r="I33" s="8">
        <v>0.0</v>
      </c>
      <c r="J33" s="8">
        <v>20.0</v>
      </c>
      <c r="K33" s="8" t="s">
        <v>1337</v>
      </c>
      <c r="L33" s="37">
        <v>46276.0</v>
      </c>
      <c r="M33" s="8" t="s">
        <v>1351</v>
      </c>
      <c r="N33" s="8" t="s">
        <v>1907</v>
      </c>
      <c r="O33" s="8" t="s">
        <v>1908</v>
      </c>
      <c r="P33" s="8" t="s">
        <v>1909</v>
      </c>
      <c r="Q33" s="8" t="s">
        <v>1910</v>
      </c>
    </row>
    <row r="34" ht="22.5" customHeight="1">
      <c r="A34" s="8" t="s">
        <v>1911</v>
      </c>
      <c r="B34" s="8" t="s">
        <v>1031</v>
      </c>
      <c r="C34" s="8" t="s">
        <v>483</v>
      </c>
      <c r="D34" s="8" t="s">
        <v>465</v>
      </c>
      <c r="E34" s="8">
        <v>30.0</v>
      </c>
      <c r="F34" s="8" t="s">
        <v>818</v>
      </c>
      <c r="G34" s="8">
        <v>19.0</v>
      </c>
      <c r="H34" s="8">
        <v>0.0</v>
      </c>
      <c r="I34" s="8">
        <v>0.0</v>
      </c>
      <c r="J34" s="8">
        <v>30.0</v>
      </c>
      <c r="K34" s="8" t="s">
        <v>1337</v>
      </c>
      <c r="L34" s="37">
        <v>46276.0</v>
      </c>
      <c r="M34" s="8" t="s">
        <v>1351</v>
      </c>
      <c r="N34" s="8" t="s">
        <v>1913</v>
      </c>
      <c r="O34" s="8" t="s">
        <v>1915</v>
      </c>
      <c r="P34" s="8" t="s">
        <v>1916</v>
      </c>
      <c r="Q34" s="8" t="s">
        <v>1918</v>
      </c>
    </row>
    <row r="35" ht="22.5" customHeight="1">
      <c r="A35" s="8" t="s">
        <v>1919</v>
      </c>
      <c r="B35" s="8" t="s">
        <v>1145</v>
      </c>
      <c r="C35" s="8" t="s">
        <v>728</v>
      </c>
      <c r="D35" s="8" t="s">
        <v>712</v>
      </c>
      <c r="E35" s="8">
        <v>3.0</v>
      </c>
      <c r="F35" s="8" t="s">
        <v>1139</v>
      </c>
      <c r="G35" s="8">
        <v>359.0</v>
      </c>
      <c r="H35" s="8">
        <v>0.0</v>
      </c>
      <c r="I35" s="8">
        <v>0.0</v>
      </c>
      <c r="J35" s="8">
        <v>3.0</v>
      </c>
      <c r="K35" s="8" t="s">
        <v>1337</v>
      </c>
      <c r="L35" s="37">
        <v>46276.0</v>
      </c>
      <c r="M35" s="8" t="s">
        <v>1351</v>
      </c>
      <c r="N35" s="8" t="s">
        <v>1926</v>
      </c>
      <c r="O35" s="8" t="s">
        <v>1927</v>
      </c>
      <c r="P35" s="8" t="s">
        <v>1928</v>
      </c>
      <c r="Q35" s="8" t="s">
        <v>1929</v>
      </c>
    </row>
    <row r="36" ht="22.5" customHeight="1">
      <c r="A36" s="8" t="s">
        <v>1925</v>
      </c>
      <c r="B36" s="8" t="s">
        <v>1136</v>
      </c>
      <c r="C36" s="8" t="s">
        <v>722</v>
      </c>
      <c r="D36" s="8" t="s">
        <v>712</v>
      </c>
      <c r="E36" s="8">
        <v>10.0</v>
      </c>
      <c r="F36" s="8" t="s">
        <v>1139</v>
      </c>
      <c r="G36" s="8">
        <v>99.0</v>
      </c>
      <c r="H36" s="8">
        <v>0.0</v>
      </c>
      <c r="I36" s="8">
        <v>0.0</v>
      </c>
      <c r="J36" s="8">
        <v>10.0</v>
      </c>
      <c r="K36" s="8" t="s">
        <v>1337</v>
      </c>
      <c r="L36" s="37">
        <v>46276.0</v>
      </c>
      <c r="M36" s="8" t="s">
        <v>1351</v>
      </c>
      <c r="N36" s="8" t="s">
        <v>1933</v>
      </c>
      <c r="O36" s="8" t="s">
        <v>1934</v>
      </c>
      <c r="P36" s="8" t="s">
        <v>1936</v>
      </c>
      <c r="Q36" s="8" t="s">
        <v>1799</v>
      </c>
    </row>
    <row r="37" ht="22.5" customHeight="1">
      <c r="A37" s="8" t="s">
        <v>1813</v>
      </c>
      <c r="B37" s="8" t="s">
        <v>1068</v>
      </c>
      <c r="C37" s="8" t="s">
        <v>539</v>
      </c>
      <c r="D37" s="8" t="s">
        <v>430</v>
      </c>
      <c r="E37" s="8">
        <v>10.0</v>
      </c>
      <c r="F37" s="8" t="s">
        <v>818</v>
      </c>
      <c r="G37" s="8">
        <v>19.0</v>
      </c>
      <c r="H37" s="8">
        <v>0.0</v>
      </c>
      <c r="I37" s="8">
        <v>0.0</v>
      </c>
      <c r="J37" s="8">
        <v>10.0</v>
      </c>
      <c r="K37" s="8" t="s">
        <v>1337</v>
      </c>
      <c r="L37" s="37">
        <v>46276.0</v>
      </c>
      <c r="M37" s="8" t="s">
        <v>1351</v>
      </c>
      <c r="N37" s="8" t="s">
        <v>1945</v>
      </c>
      <c r="O37" s="8" t="s">
        <v>1946</v>
      </c>
      <c r="P37" s="8" t="s">
        <v>1947</v>
      </c>
      <c r="Q37" s="8" t="s">
        <v>1474</v>
      </c>
    </row>
    <row r="38" ht="22.5" customHeight="1">
      <c r="A38" s="8" t="s">
        <v>1948</v>
      </c>
      <c r="B38" s="8" t="s">
        <v>1060</v>
      </c>
      <c r="C38" s="8" t="s">
        <v>533</v>
      </c>
      <c r="D38" s="8" t="s">
        <v>430</v>
      </c>
      <c r="E38" s="8">
        <v>10.0</v>
      </c>
      <c r="F38" s="8" t="s">
        <v>818</v>
      </c>
      <c r="G38" s="8">
        <v>10.0</v>
      </c>
      <c r="H38" s="8">
        <v>0.0</v>
      </c>
      <c r="I38" s="8">
        <v>0.0</v>
      </c>
      <c r="J38" s="8">
        <v>10.0</v>
      </c>
      <c r="K38" s="8" t="s">
        <v>1521</v>
      </c>
      <c r="L38" s="37">
        <v>46276.0</v>
      </c>
      <c r="M38" s="8" t="s">
        <v>1351</v>
      </c>
      <c r="N38" s="8" t="s">
        <v>1954</v>
      </c>
      <c r="O38" s="8" t="s">
        <v>1955</v>
      </c>
      <c r="P38" s="8" t="s">
        <v>1947</v>
      </c>
      <c r="Q38" s="8" t="s">
        <v>1957</v>
      </c>
    </row>
    <row r="39" ht="22.5" customHeight="1">
      <c r="A39" s="8" t="s">
        <v>1959</v>
      </c>
      <c r="B39" s="8" t="s">
        <v>997</v>
      </c>
      <c r="C39" s="8" t="s">
        <v>651</v>
      </c>
      <c r="D39" s="8" t="s">
        <v>13</v>
      </c>
      <c r="E39" s="8">
        <v>20.0</v>
      </c>
      <c r="F39" s="8" t="s">
        <v>359</v>
      </c>
      <c r="G39" s="8">
        <v>45.0</v>
      </c>
      <c r="H39" s="8">
        <v>0.0</v>
      </c>
      <c r="I39" s="8">
        <v>0.0</v>
      </c>
      <c r="J39" s="8">
        <v>20.0</v>
      </c>
      <c r="K39" s="8" t="s">
        <v>1337</v>
      </c>
      <c r="L39" s="37">
        <v>46276.0</v>
      </c>
      <c r="M39" s="8" t="s">
        <v>1351</v>
      </c>
      <c r="N39" s="8" t="s">
        <v>1963</v>
      </c>
      <c r="O39" s="8" t="s">
        <v>1965</v>
      </c>
      <c r="P39" s="8" t="s">
        <v>1712</v>
      </c>
      <c r="Q39" s="8" t="s">
        <v>1382</v>
      </c>
    </row>
    <row r="40" ht="22.5" customHeight="1">
      <c r="A40" s="8" t="s">
        <v>1747</v>
      </c>
      <c r="B40" s="8" t="s">
        <v>1024</v>
      </c>
      <c r="C40" s="8" t="s">
        <v>669</v>
      </c>
      <c r="D40" s="8" t="s">
        <v>465</v>
      </c>
      <c r="E40" s="8">
        <v>10.0</v>
      </c>
      <c r="F40" s="8" t="s">
        <v>818</v>
      </c>
      <c r="G40" s="8">
        <v>17.0</v>
      </c>
      <c r="H40" s="8">
        <v>0.0</v>
      </c>
      <c r="I40" s="8">
        <v>0.0</v>
      </c>
      <c r="J40" s="8">
        <v>10.0</v>
      </c>
      <c r="K40" s="8" t="s">
        <v>1337</v>
      </c>
      <c r="L40" s="37">
        <v>46276.0</v>
      </c>
      <c r="M40" s="8" t="s">
        <v>1351</v>
      </c>
      <c r="N40" s="8" t="s">
        <v>1971</v>
      </c>
      <c r="O40" s="8" t="s">
        <v>1972</v>
      </c>
      <c r="P40" s="8" t="s">
        <v>1973</v>
      </c>
      <c r="Q40" s="8" t="s">
        <v>1974</v>
      </c>
    </row>
    <row r="41" ht="22.5" customHeight="1">
      <c r="A41" s="8" t="s">
        <v>1975</v>
      </c>
      <c r="B41" s="8" t="s">
        <v>1026</v>
      </c>
      <c r="C41" s="8" t="s">
        <v>682</v>
      </c>
      <c r="D41" s="8" t="s">
        <v>465</v>
      </c>
      <c r="E41" s="8">
        <v>10.0</v>
      </c>
      <c r="F41" s="8" t="s">
        <v>818</v>
      </c>
      <c r="G41" s="8">
        <v>21.0</v>
      </c>
      <c r="H41" s="8">
        <v>0.0</v>
      </c>
      <c r="I41" s="8">
        <v>0.0</v>
      </c>
      <c r="J41" s="8">
        <v>10.0</v>
      </c>
      <c r="K41" s="8" t="s">
        <v>1337</v>
      </c>
      <c r="L41" s="37">
        <v>46276.0</v>
      </c>
      <c r="M41" s="8" t="s">
        <v>1351</v>
      </c>
      <c r="N41" s="8" t="s">
        <v>1981</v>
      </c>
      <c r="O41" s="8" t="s">
        <v>1982</v>
      </c>
      <c r="P41" s="8" t="s">
        <v>1983</v>
      </c>
      <c r="Q41" s="8" t="s">
        <v>1984</v>
      </c>
    </row>
    <row r="42" ht="22.5" customHeight="1">
      <c r="A42" s="8" t="s">
        <v>1986</v>
      </c>
      <c r="B42" s="8" t="s">
        <v>1119</v>
      </c>
      <c r="C42" s="8" t="s">
        <v>697</v>
      </c>
      <c r="D42" s="8" t="s">
        <v>430</v>
      </c>
      <c r="E42" s="8">
        <v>10.0</v>
      </c>
      <c r="F42" s="8" t="s">
        <v>818</v>
      </c>
      <c r="G42" s="8">
        <v>15.0</v>
      </c>
      <c r="H42" s="8">
        <v>0.0</v>
      </c>
      <c r="I42" s="8">
        <v>0.0</v>
      </c>
      <c r="J42" s="8">
        <v>10.0</v>
      </c>
      <c r="K42" s="8" t="s">
        <v>1337</v>
      </c>
      <c r="L42" s="37">
        <v>46276.0</v>
      </c>
      <c r="M42" s="8" t="s">
        <v>1351</v>
      </c>
      <c r="N42" s="8" t="s">
        <v>1994</v>
      </c>
      <c r="O42" s="8" t="s">
        <v>1995</v>
      </c>
      <c r="P42" s="8" t="s">
        <v>1996</v>
      </c>
      <c r="Q42" s="8" t="s">
        <v>1442</v>
      </c>
    </row>
    <row r="43" ht="22.5" customHeight="1">
      <c r="A43" s="8" t="s">
        <v>1997</v>
      </c>
      <c r="B43" s="8" t="s">
        <v>1123</v>
      </c>
      <c r="C43" s="8" t="s">
        <v>544</v>
      </c>
      <c r="D43" s="8" t="s">
        <v>430</v>
      </c>
      <c r="E43" s="8">
        <v>10.0</v>
      </c>
      <c r="F43" s="8" t="s">
        <v>818</v>
      </c>
      <c r="G43" s="8">
        <v>10.0</v>
      </c>
      <c r="H43" s="8">
        <v>0.0</v>
      </c>
      <c r="I43" s="8">
        <v>0.0</v>
      </c>
      <c r="J43" s="8">
        <v>10.0</v>
      </c>
      <c r="K43" s="8" t="s">
        <v>1337</v>
      </c>
      <c r="L43" s="37">
        <v>46276.0</v>
      </c>
      <c r="M43" s="8" t="s">
        <v>1351</v>
      </c>
      <c r="N43" s="8" t="s">
        <v>2011</v>
      </c>
      <c r="O43" s="8" t="s">
        <v>2012</v>
      </c>
      <c r="P43" s="8" t="s">
        <v>1742</v>
      </c>
      <c r="Q43" s="8" t="s">
        <v>2013</v>
      </c>
    </row>
    <row r="44" ht="22.5" customHeight="1">
      <c r="A44" s="8" t="s">
        <v>2014</v>
      </c>
      <c r="B44" s="8" t="s">
        <v>957</v>
      </c>
      <c r="C44" s="8" t="s">
        <v>172</v>
      </c>
      <c r="D44" s="8" t="s">
        <v>13</v>
      </c>
      <c r="E44" s="8">
        <v>10.0</v>
      </c>
      <c r="F44" s="8" t="s">
        <v>791</v>
      </c>
      <c r="G44" s="8">
        <v>77.0</v>
      </c>
      <c r="H44" s="8">
        <v>0.0</v>
      </c>
      <c r="I44" s="8">
        <v>0.0</v>
      </c>
      <c r="J44" s="8">
        <v>10.0</v>
      </c>
      <c r="K44" s="8" t="s">
        <v>1337</v>
      </c>
      <c r="L44" s="37">
        <v>46276.0</v>
      </c>
      <c r="M44" s="8" t="s">
        <v>1351</v>
      </c>
      <c r="N44" s="8" t="s">
        <v>2020</v>
      </c>
      <c r="O44" s="8" t="s">
        <v>2022</v>
      </c>
      <c r="P44" s="8" t="s">
        <v>2023</v>
      </c>
      <c r="Q44" s="8" t="s">
        <v>2025</v>
      </c>
    </row>
    <row r="45" ht="22.5" customHeight="1">
      <c r="A45" s="8" t="s">
        <v>1867</v>
      </c>
      <c r="B45" s="8" t="s">
        <v>969</v>
      </c>
      <c r="C45" s="8" t="s">
        <v>642</v>
      </c>
      <c r="D45" s="8" t="s">
        <v>13</v>
      </c>
      <c r="E45" s="8">
        <v>20.0</v>
      </c>
      <c r="F45" s="8" t="s">
        <v>359</v>
      </c>
      <c r="G45" s="8">
        <v>49.0</v>
      </c>
      <c r="H45" s="8">
        <v>0.0</v>
      </c>
      <c r="I45" s="8">
        <v>0.0</v>
      </c>
      <c r="J45" s="8">
        <v>20.0</v>
      </c>
      <c r="K45" s="8" t="s">
        <v>1337</v>
      </c>
      <c r="L45" s="37">
        <v>46276.0</v>
      </c>
      <c r="M45" s="8" t="s">
        <v>1351</v>
      </c>
      <c r="N45" s="8" t="s">
        <v>2034</v>
      </c>
      <c r="O45" s="8" t="s">
        <v>2036</v>
      </c>
      <c r="P45" s="8" t="s">
        <v>2040</v>
      </c>
      <c r="Q45" s="8" t="s">
        <v>1714</v>
      </c>
    </row>
    <row r="46" ht="22.5" customHeight="1">
      <c r="A46" s="8" t="s">
        <v>2042</v>
      </c>
      <c r="B46" s="8" t="s">
        <v>985</v>
      </c>
      <c r="C46" s="8" t="s">
        <v>177</v>
      </c>
      <c r="D46" s="8" t="s">
        <v>13</v>
      </c>
      <c r="E46" s="8">
        <v>10.0</v>
      </c>
      <c r="F46" s="8" t="s">
        <v>989</v>
      </c>
      <c r="G46" s="8">
        <v>49.0</v>
      </c>
      <c r="H46" s="8">
        <v>0.0</v>
      </c>
      <c r="I46" s="8">
        <v>0.0</v>
      </c>
      <c r="J46" s="8">
        <v>12.0</v>
      </c>
      <c r="K46" s="8" t="s">
        <v>1521</v>
      </c>
      <c r="L46" s="37">
        <v>46276.0</v>
      </c>
      <c r="M46" s="8" t="s">
        <v>1351</v>
      </c>
      <c r="N46" s="8" t="s">
        <v>2051</v>
      </c>
      <c r="O46" s="8" t="s">
        <v>2052</v>
      </c>
      <c r="P46" s="8" t="s">
        <v>1860</v>
      </c>
      <c r="Q46" s="8" t="s">
        <v>1714</v>
      </c>
    </row>
    <row r="47" ht="22.5" customHeight="1">
      <c r="A47" s="8" t="s">
        <v>2053</v>
      </c>
      <c r="B47" s="8" t="s">
        <v>1125</v>
      </c>
      <c r="C47" s="8" t="s">
        <v>589</v>
      </c>
      <c r="D47" s="8" t="s">
        <v>430</v>
      </c>
      <c r="E47" s="8">
        <v>10.0</v>
      </c>
      <c r="F47" s="8" t="s">
        <v>818</v>
      </c>
      <c r="G47" s="8">
        <v>6.0</v>
      </c>
      <c r="H47" s="8">
        <v>0.0</v>
      </c>
      <c r="I47" s="8">
        <v>0.0</v>
      </c>
      <c r="J47" s="8">
        <v>10.0</v>
      </c>
      <c r="K47" s="8" t="s">
        <v>1521</v>
      </c>
      <c r="L47" s="37">
        <v>46276.0</v>
      </c>
      <c r="M47" s="8" t="s">
        <v>1351</v>
      </c>
      <c r="N47" s="8" t="s">
        <v>2055</v>
      </c>
      <c r="O47" s="8" t="s">
        <v>2056</v>
      </c>
      <c r="P47" s="8" t="s">
        <v>2057</v>
      </c>
      <c r="Q47" s="8" t="s">
        <v>1714</v>
      </c>
    </row>
    <row r="48" ht="22.5" customHeight="1">
      <c r="A48" s="8" t="s">
        <v>2058</v>
      </c>
      <c r="B48" s="8" t="s">
        <v>1128</v>
      </c>
      <c r="C48" s="8" t="s">
        <v>563</v>
      </c>
      <c r="D48" s="8" t="s">
        <v>430</v>
      </c>
      <c r="E48" s="8">
        <v>10.0</v>
      </c>
      <c r="F48" s="8" t="s">
        <v>818</v>
      </c>
      <c r="G48" s="8">
        <v>7.0</v>
      </c>
      <c r="H48" s="8">
        <v>0.0</v>
      </c>
      <c r="I48" s="8">
        <v>0.0</v>
      </c>
      <c r="J48" s="8">
        <v>10.0</v>
      </c>
      <c r="K48" s="8" t="s">
        <v>1521</v>
      </c>
      <c r="L48" s="37">
        <v>46276.0</v>
      </c>
      <c r="M48" s="8" t="s">
        <v>1351</v>
      </c>
      <c r="N48" s="8" t="s">
        <v>2059</v>
      </c>
      <c r="O48" s="8" t="s">
        <v>2060</v>
      </c>
      <c r="P48" s="8" t="s">
        <v>2061</v>
      </c>
      <c r="Q48" s="8" t="s">
        <v>2062</v>
      </c>
    </row>
    <row r="49" ht="22.5" customHeight="1">
      <c r="A49" s="8" t="s">
        <v>2063</v>
      </c>
      <c r="B49" s="8" t="s">
        <v>1131</v>
      </c>
      <c r="C49" s="8" t="s">
        <v>575</v>
      </c>
      <c r="D49" s="8" t="s">
        <v>430</v>
      </c>
      <c r="E49" s="8">
        <v>10.0</v>
      </c>
      <c r="F49" s="8" t="s">
        <v>818</v>
      </c>
      <c r="G49" s="8">
        <v>20.0</v>
      </c>
      <c r="H49" s="8">
        <v>0.0</v>
      </c>
      <c r="I49" s="8">
        <v>0.0</v>
      </c>
      <c r="J49" s="8">
        <v>10.0</v>
      </c>
      <c r="K49" s="8" t="s">
        <v>1521</v>
      </c>
      <c r="L49" s="37">
        <v>46276.0</v>
      </c>
      <c r="M49" s="8" t="s">
        <v>1351</v>
      </c>
      <c r="N49" s="8" t="s">
        <v>2064</v>
      </c>
      <c r="O49" s="8" t="s">
        <v>2065</v>
      </c>
      <c r="P49" s="8" t="s">
        <v>1947</v>
      </c>
      <c r="Q49" s="8" t="s">
        <v>2066</v>
      </c>
    </row>
    <row r="50" ht="22.5" customHeight="1">
      <c r="A50" s="8" t="s">
        <v>2067</v>
      </c>
      <c r="B50" s="8" t="s">
        <v>1083</v>
      </c>
      <c r="C50" s="8" t="s">
        <v>1038</v>
      </c>
      <c r="D50" s="8" t="s">
        <v>430</v>
      </c>
      <c r="E50" s="8">
        <v>10.0</v>
      </c>
      <c r="F50" s="8" t="s">
        <v>818</v>
      </c>
      <c r="G50" s="8">
        <v>15.0</v>
      </c>
      <c r="H50" s="8">
        <v>0.0</v>
      </c>
      <c r="I50" s="8">
        <v>0.0</v>
      </c>
      <c r="J50" s="8">
        <v>10.0</v>
      </c>
      <c r="K50" s="8" t="s">
        <v>1521</v>
      </c>
      <c r="L50" s="37">
        <v>46276.0</v>
      </c>
      <c r="M50" s="8" t="s">
        <v>1351</v>
      </c>
      <c r="N50" s="8" t="s">
        <v>2068</v>
      </c>
      <c r="O50" s="8" t="s">
        <v>2069</v>
      </c>
      <c r="P50" s="8" t="s">
        <v>2070</v>
      </c>
      <c r="Q50" s="8" t="s">
        <v>1406</v>
      </c>
    </row>
    <row r="51" ht="22.5" customHeight="1">
      <c r="A51" s="8" t="s">
        <v>2071</v>
      </c>
      <c r="B51" s="8" t="s">
        <v>1104</v>
      </c>
      <c r="C51" s="8" t="s">
        <v>618</v>
      </c>
      <c r="D51" s="8" t="s">
        <v>430</v>
      </c>
      <c r="E51" s="8">
        <v>10.0</v>
      </c>
      <c r="F51" s="8" t="s">
        <v>818</v>
      </c>
      <c r="G51" s="8">
        <v>25.0</v>
      </c>
      <c r="H51" s="8">
        <v>0.0</v>
      </c>
      <c r="I51" s="8">
        <v>0.0</v>
      </c>
      <c r="J51" s="8">
        <v>10.0</v>
      </c>
      <c r="K51" s="8" t="s">
        <v>1521</v>
      </c>
      <c r="L51" s="37">
        <v>46276.0</v>
      </c>
      <c r="M51" s="8" t="s">
        <v>1351</v>
      </c>
      <c r="N51" s="8" t="s">
        <v>2072</v>
      </c>
      <c r="O51" s="8" t="s">
        <v>2073</v>
      </c>
      <c r="P51" s="8" t="s">
        <v>2074</v>
      </c>
      <c r="Q51" s="8" t="s">
        <v>2075</v>
      </c>
    </row>
    <row r="52" ht="22.5" customHeight="1">
      <c r="A52" s="8" t="s">
        <v>2076</v>
      </c>
      <c r="B52" s="8" t="s">
        <v>1100</v>
      </c>
      <c r="C52" s="8" t="s">
        <v>568</v>
      </c>
      <c r="D52" s="8" t="s">
        <v>430</v>
      </c>
      <c r="E52" s="8">
        <v>10.0</v>
      </c>
      <c r="F52" s="8" t="s">
        <v>818</v>
      </c>
      <c r="G52" s="8">
        <v>6.0</v>
      </c>
      <c r="H52" s="8">
        <v>0.0</v>
      </c>
      <c r="I52" s="8">
        <v>0.0</v>
      </c>
      <c r="J52" s="8">
        <v>10.0</v>
      </c>
      <c r="K52" s="8" t="s">
        <v>1521</v>
      </c>
      <c r="L52" s="37">
        <v>46276.0</v>
      </c>
      <c r="M52" s="8" t="s">
        <v>1351</v>
      </c>
      <c r="N52" s="8" t="s">
        <v>2082</v>
      </c>
      <c r="O52" s="8" t="s">
        <v>2084</v>
      </c>
      <c r="P52" s="8" t="s">
        <v>2085</v>
      </c>
      <c r="Q52" s="8" t="s">
        <v>1957</v>
      </c>
    </row>
    <row r="53" ht="22.5" customHeight="1">
      <c r="A53" s="8" t="s">
        <v>2091</v>
      </c>
      <c r="B53" s="8" t="s">
        <v>1095</v>
      </c>
      <c r="C53" s="8" t="s">
        <v>624</v>
      </c>
      <c r="D53" s="8" t="s">
        <v>430</v>
      </c>
      <c r="E53" s="8">
        <v>10.0</v>
      </c>
      <c r="F53" s="8" t="s">
        <v>818</v>
      </c>
      <c r="G53" s="8">
        <v>9.0</v>
      </c>
      <c r="H53" s="8">
        <v>0.0</v>
      </c>
      <c r="I53" s="8">
        <v>0.0</v>
      </c>
      <c r="J53" s="8">
        <v>10.0</v>
      </c>
      <c r="K53" s="8" t="s">
        <v>1521</v>
      </c>
      <c r="L53" s="37">
        <v>46277.0</v>
      </c>
      <c r="M53" s="8" t="s">
        <v>1351</v>
      </c>
      <c r="N53" s="8" t="s">
        <v>2096</v>
      </c>
      <c r="O53" s="8" t="s">
        <v>2097</v>
      </c>
      <c r="P53" s="8" t="s">
        <v>2098</v>
      </c>
      <c r="Q53" s="8" t="s">
        <v>2099</v>
      </c>
    </row>
    <row r="54" ht="22.5" customHeight="1">
      <c r="A54" s="8" t="s">
        <v>2100</v>
      </c>
      <c r="B54" s="8" t="s">
        <v>1089</v>
      </c>
      <c r="C54" s="8" t="s">
        <v>613</v>
      </c>
      <c r="D54" s="8" t="s">
        <v>430</v>
      </c>
      <c r="E54" s="8">
        <v>10.0</v>
      </c>
      <c r="F54" s="8" t="s">
        <v>818</v>
      </c>
      <c r="G54" s="8">
        <v>15.0</v>
      </c>
      <c r="H54" s="8">
        <v>0.0</v>
      </c>
      <c r="I54" s="8">
        <v>0.0</v>
      </c>
      <c r="J54" s="8">
        <v>10.0</v>
      </c>
      <c r="K54" s="8" t="s">
        <v>1521</v>
      </c>
      <c r="L54" s="37">
        <v>46277.0</v>
      </c>
      <c r="M54" s="8" t="s">
        <v>1351</v>
      </c>
      <c r="N54" s="8" t="s">
        <v>2101</v>
      </c>
      <c r="O54" s="8" t="s">
        <v>2102</v>
      </c>
      <c r="P54" s="8" t="s">
        <v>2103</v>
      </c>
      <c r="Q54" s="8" t="s">
        <v>2104</v>
      </c>
    </row>
    <row r="55" ht="22.5" customHeight="1">
      <c r="A55" s="8" t="s">
        <v>2105</v>
      </c>
      <c r="B55" s="8" t="s">
        <v>1076</v>
      </c>
      <c r="C55" s="8" t="s">
        <v>557</v>
      </c>
      <c r="D55" s="8" t="s">
        <v>430</v>
      </c>
      <c r="E55" s="8">
        <v>10.0</v>
      </c>
      <c r="F55" s="8" t="s">
        <v>818</v>
      </c>
      <c r="G55" s="8">
        <v>7.0</v>
      </c>
      <c r="H55" s="8">
        <v>0.0</v>
      </c>
      <c r="I55" s="8">
        <v>0.0</v>
      </c>
      <c r="J55" s="8">
        <v>10.0</v>
      </c>
      <c r="K55" s="8" t="s">
        <v>1521</v>
      </c>
      <c r="L55" s="37">
        <v>46277.0</v>
      </c>
      <c r="M55" s="8" t="s">
        <v>1351</v>
      </c>
      <c r="N55" s="8" t="s">
        <v>2106</v>
      </c>
      <c r="O55" s="8" t="s">
        <v>2107</v>
      </c>
      <c r="P55" s="8" t="s">
        <v>1947</v>
      </c>
      <c r="Q55" s="8" t="s">
        <v>2108</v>
      </c>
    </row>
    <row r="56" ht="22.5" customHeight="1">
      <c r="A56" s="8" t="s">
        <v>2109</v>
      </c>
      <c r="B56" s="8" t="s">
        <v>1065</v>
      </c>
      <c r="C56" s="8" t="s">
        <v>597</v>
      </c>
      <c r="D56" s="8" t="s">
        <v>430</v>
      </c>
      <c r="E56" s="8">
        <v>10.0</v>
      </c>
      <c r="F56" s="8" t="s">
        <v>818</v>
      </c>
      <c r="G56" s="8">
        <v>6.0</v>
      </c>
      <c r="H56" s="8">
        <v>0.0</v>
      </c>
      <c r="I56" s="8">
        <v>0.0</v>
      </c>
      <c r="J56" s="8">
        <v>10.0</v>
      </c>
      <c r="K56" s="8" t="s">
        <v>1521</v>
      </c>
      <c r="L56" s="37">
        <v>46277.0</v>
      </c>
      <c r="M56" s="8" t="s">
        <v>1351</v>
      </c>
      <c r="N56" s="8" t="s">
        <v>2110</v>
      </c>
      <c r="O56" s="8" t="s">
        <v>2111</v>
      </c>
      <c r="P56" s="8" t="s">
        <v>1947</v>
      </c>
      <c r="Q56" s="8" t="s">
        <v>1957</v>
      </c>
    </row>
    <row r="57" ht="22.5" customHeight="1">
      <c r="A57" s="8" t="s">
        <v>2112</v>
      </c>
      <c r="B57" s="8" t="s">
        <v>1051</v>
      </c>
      <c r="C57" s="8" t="s">
        <v>550</v>
      </c>
      <c r="D57" s="8" t="s">
        <v>430</v>
      </c>
      <c r="E57" s="8">
        <v>10.0</v>
      </c>
      <c r="F57" s="8" t="s">
        <v>818</v>
      </c>
      <c r="G57" s="8">
        <v>6.0</v>
      </c>
      <c r="H57" s="8">
        <v>0.0</v>
      </c>
      <c r="I57" s="8">
        <v>0.0</v>
      </c>
      <c r="J57" s="8">
        <v>10.0</v>
      </c>
      <c r="K57" s="8" t="s">
        <v>1337</v>
      </c>
      <c r="L57" s="37">
        <v>46277.0</v>
      </c>
      <c r="M57" s="8" t="s">
        <v>1351</v>
      </c>
      <c r="N57" s="8" t="s">
        <v>2113</v>
      </c>
      <c r="O57" s="8" t="s">
        <v>2114</v>
      </c>
      <c r="P57" s="8" t="s">
        <v>1947</v>
      </c>
      <c r="Q57" s="8" t="s">
        <v>2108</v>
      </c>
    </row>
    <row r="58" ht="22.5" customHeight="1">
      <c r="A58" s="8" t="s">
        <v>1932</v>
      </c>
      <c r="B58" s="8" t="s">
        <v>1003</v>
      </c>
      <c r="C58" s="8" t="s">
        <v>463</v>
      </c>
      <c r="D58" s="8" t="s">
        <v>465</v>
      </c>
      <c r="E58" s="8">
        <v>10.0</v>
      </c>
      <c r="F58" s="8" t="s">
        <v>818</v>
      </c>
      <c r="G58" s="8">
        <v>19.0</v>
      </c>
      <c r="H58" s="8">
        <v>0.0</v>
      </c>
      <c r="I58" s="8">
        <v>0.0</v>
      </c>
      <c r="J58" s="8">
        <v>10.0</v>
      </c>
      <c r="K58" s="8" t="s">
        <v>1337</v>
      </c>
      <c r="L58" s="37">
        <v>46277.0</v>
      </c>
      <c r="M58" s="8" t="s">
        <v>1351</v>
      </c>
      <c r="N58" s="8" t="s">
        <v>2115</v>
      </c>
      <c r="O58" s="8" t="s">
        <v>2116</v>
      </c>
      <c r="P58" s="8" t="s">
        <v>2117</v>
      </c>
      <c r="Q58" s="8" t="s">
        <v>2118</v>
      </c>
    </row>
    <row r="59" ht="22.5" customHeight="1">
      <c r="A59" s="8" t="s">
        <v>2119</v>
      </c>
      <c r="B59" s="8" t="s">
        <v>1109</v>
      </c>
      <c r="C59" s="8" t="s">
        <v>582</v>
      </c>
      <c r="D59" s="8" t="s">
        <v>430</v>
      </c>
      <c r="E59" s="8">
        <v>10.0</v>
      </c>
      <c r="F59" s="8" t="s">
        <v>818</v>
      </c>
      <c r="G59" s="8">
        <v>6.0</v>
      </c>
      <c r="H59" s="8">
        <v>0.0</v>
      </c>
      <c r="I59" s="8">
        <v>0.0</v>
      </c>
      <c r="J59" s="8">
        <v>10.0</v>
      </c>
      <c r="K59" s="8" t="s">
        <v>1337</v>
      </c>
      <c r="L59" s="37">
        <v>46277.0</v>
      </c>
      <c r="M59" s="8" t="s">
        <v>1351</v>
      </c>
      <c r="N59" s="8" t="s">
        <v>2120</v>
      </c>
      <c r="O59" s="8" t="s">
        <v>2121</v>
      </c>
      <c r="P59" s="8" t="s">
        <v>2122</v>
      </c>
      <c r="Q59" s="8" t="s">
        <v>2075</v>
      </c>
    </row>
    <row r="60" ht="22.5" customHeight="1">
      <c r="A60" s="8" t="s">
        <v>2123</v>
      </c>
      <c r="B60" s="8" t="s">
        <v>993</v>
      </c>
      <c r="C60" s="8" t="s">
        <v>153</v>
      </c>
      <c r="D60" s="8" t="s">
        <v>13</v>
      </c>
      <c r="E60" s="8">
        <v>10.0</v>
      </c>
      <c r="F60" s="8" t="s">
        <v>359</v>
      </c>
      <c r="G60" s="25">
        <v>49.0</v>
      </c>
      <c r="H60" s="8">
        <v>0.0</v>
      </c>
      <c r="I60" s="8">
        <v>0.0</v>
      </c>
      <c r="J60" s="8">
        <v>10.0</v>
      </c>
      <c r="K60" s="8" t="s">
        <v>1337</v>
      </c>
      <c r="L60" s="37">
        <v>46277.0</v>
      </c>
      <c r="M60" s="8" t="s">
        <v>1351</v>
      </c>
      <c r="N60" s="8" t="s">
        <v>2124</v>
      </c>
      <c r="O60" s="8" t="s">
        <v>2125</v>
      </c>
      <c r="P60" s="8" t="s">
        <v>2126</v>
      </c>
      <c r="Q60" s="8" t="s">
        <v>2127</v>
      </c>
    </row>
    <row r="61" ht="22.5" customHeight="1">
      <c r="A61" s="8" t="s">
        <v>2128</v>
      </c>
      <c r="B61" s="8" t="s">
        <v>1112</v>
      </c>
      <c r="C61" s="8" t="s">
        <v>606</v>
      </c>
      <c r="D61" s="8" t="s">
        <v>430</v>
      </c>
      <c r="E61" s="8">
        <v>10.0</v>
      </c>
      <c r="F61" s="8" t="s">
        <v>818</v>
      </c>
      <c r="G61" s="8">
        <v>6.0</v>
      </c>
      <c r="H61" s="8">
        <v>0.0</v>
      </c>
      <c r="I61" s="8">
        <v>0.0</v>
      </c>
      <c r="J61" s="8">
        <v>10.0</v>
      </c>
      <c r="K61" s="8" t="s">
        <v>1521</v>
      </c>
      <c r="L61" s="37">
        <v>46277.0</v>
      </c>
      <c r="M61" s="8" t="s">
        <v>1351</v>
      </c>
      <c r="N61" s="8" t="s">
        <v>2129</v>
      </c>
      <c r="O61" s="8" t="s">
        <v>2130</v>
      </c>
      <c r="P61" s="8" t="s">
        <v>2057</v>
      </c>
      <c r="Q61" s="8" t="s">
        <v>1714</v>
      </c>
    </row>
    <row r="62" ht="22.5" customHeight="1">
      <c r="A62" s="8" t="s">
        <v>1967</v>
      </c>
      <c r="B62" s="8" t="s">
        <v>919</v>
      </c>
      <c r="C62" s="8" t="s">
        <v>208</v>
      </c>
      <c r="D62" s="8" t="s">
        <v>13</v>
      </c>
      <c r="E62" s="8">
        <v>15.0</v>
      </c>
      <c r="F62" s="8" t="s">
        <v>359</v>
      </c>
      <c r="G62" s="8">
        <v>44.0</v>
      </c>
      <c r="H62" s="8">
        <v>0.0</v>
      </c>
      <c r="I62" s="8">
        <v>0.0</v>
      </c>
      <c r="J62" s="8">
        <v>15.0</v>
      </c>
      <c r="K62" s="8" t="s">
        <v>1337</v>
      </c>
      <c r="L62" s="37">
        <v>46277.0</v>
      </c>
      <c r="M62" s="8" t="s">
        <v>1351</v>
      </c>
      <c r="N62" s="8" t="s">
        <v>2131</v>
      </c>
      <c r="O62" s="8" t="s">
        <v>2132</v>
      </c>
      <c r="P62" s="8" t="s">
        <v>2133</v>
      </c>
      <c r="Q62" s="8" t="s">
        <v>2134</v>
      </c>
    </row>
    <row r="63" ht="22.5" customHeight="1">
      <c r="A63" s="8" t="s">
        <v>1761</v>
      </c>
      <c r="B63" s="8" t="s">
        <v>891</v>
      </c>
      <c r="C63" s="8" t="s">
        <v>114</v>
      </c>
      <c r="D63" s="8" t="s">
        <v>13</v>
      </c>
      <c r="E63" s="8">
        <v>20.0</v>
      </c>
      <c r="F63" s="8" t="s">
        <v>359</v>
      </c>
      <c r="G63" s="8">
        <v>69.0</v>
      </c>
      <c r="H63" s="8">
        <v>0.0</v>
      </c>
      <c r="I63" s="8">
        <v>0.0</v>
      </c>
      <c r="J63" s="8">
        <v>20.0</v>
      </c>
      <c r="K63" s="8" t="s">
        <v>1337</v>
      </c>
      <c r="L63" s="37">
        <v>46277.0</v>
      </c>
      <c r="M63" s="8" t="s">
        <v>1351</v>
      </c>
      <c r="N63" s="8" t="s">
        <v>2141</v>
      </c>
      <c r="O63" s="8" t="s">
        <v>2143</v>
      </c>
      <c r="P63" s="8" t="s">
        <v>2145</v>
      </c>
      <c r="Q63" s="8" t="s">
        <v>1714</v>
      </c>
    </row>
    <row r="64" ht="22.5" customHeight="1">
      <c r="A64" s="8" t="s">
        <v>2148</v>
      </c>
      <c r="B64" s="8" t="s">
        <v>1224</v>
      </c>
      <c r="C64" s="8" t="s">
        <v>737</v>
      </c>
      <c r="D64" s="8" t="s">
        <v>430</v>
      </c>
      <c r="E64" s="8">
        <v>10.0</v>
      </c>
      <c r="F64" s="8" t="s">
        <v>818</v>
      </c>
      <c r="G64" s="8">
        <v>25.0</v>
      </c>
      <c r="H64" s="8">
        <v>0.0</v>
      </c>
      <c r="I64" s="8">
        <v>0.0</v>
      </c>
      <c r="J64" s="8">
        <v>10.0</v>
      </c>
      <c r="K64" s="8" t="s">
        <v>1337</v>
      </c>
      <c r="L64" s="37">
        <v>46277.0</v>
      </c>
      <c r="M64" s="8" t="s">
        <v>1351</v>
      </c>
      <c r="N64" s="8" t="s">
        <v>2153</v>
      </c>
      <c r="O64" s="8" t="s">
        <v>2155</v>
      </c>
      <c r="P64" s="8" t="s">
        <v>2070</v>
      </c>
      <c r="Q64" s="8" t="s">
        <v>1442</v>
      </c>
    </row>
    <row r="65" ht="22.5" customHeight="1">
      <c r="A65" s="8" t="s">
        <v>2159</v>
      </c>
      <c r="B65" s="8" t="s">
        <v>1220</v>
      </c>
      <c r="C65" s="8" t="s">
        <v>748</v>
      </c>
      <c r="D65" s="8" t="s">
        <v>430</v>
      </c>
      <c r="E65" s="8">
        <v>10.0</v>
      </c>
      <c r="F65" s="8" t="s">
        <v>818</v>
      </c>
      <c r="G65" s="8">
        <v>20.0</v>
      </c>
      <c r="H65" s="8">
        <v>0.0</v>
      </c>
      <c r="I65" s="8">
        <v>0.0</v>
      </c>
      <c r="J65" s="8">
        <v>10.0</v>
      </c>
      <c r="K65" s="8" t="s">
        <v>2167</v>
      </c>
      <c r="L65" s="37">
        <v>46277.0</v>
      </c>
      <c r="M65" s="8" t="s">
        <v>1351</v>
      </c>
      <c r="N65" s="8" t="s">
        <v>2169</v>
      </c>
      <c r="O65" s="8" t="s">
        <v>2170</v>
      </c>
      <c r="P65" s="8" t="s">
        <v>1947</v>
      </c>
      <c r="Q65" s="8" t="s">
        <v>1442</v>
      </c>
    </row>
    <row r="66" ht="22.5" customHeight="1">
      <c r="A66" s="8" t="s">
        <v>2171</v>
      </c>
      <c r="B66" s="8" t="s">
        <v>1214</v>
      </c>
      <c r="C66" s="8" t="s">
        <v>816</v>
      </c>
      <c r="D66" s="8" t="s">
        <v>430</v>
      </c>
      <c r="E66" s="8">
        <v>10.0</v>
      </c>
      <c r="F66" s="8" t="s">
        <v>818</v>
      </c>
      <c r="G66" s="8">
        <v>45.0</v>
      </c>
      <c r="H66" s="8">
        <v>0.0</v>
      </c>
      <c r="I66" s="8">
        <v>0.0</v>
      </c>
      <c r="J66" s="8">
        <v>10.0</v>
      </c>
      <c r="K66" s="8" t="s">
        <v>2167</v>
      </c>
      <c r="L66" s="37">
        <v>46277.0</v>
      </c>
      <c r="M66" s="8" t="s">
        <v>1351</v>
      </c>
      <c r="N66" s="8" t="s">
        <v>2172</v>
      </c>
      <c r="O66" s="8" t="s">
        <v>2173</v>
      </c>
      <c r="P66" s="8" t="s">
        <v>2174</v>
      </c>
      <c r="Q66" s="8" t="s">
        <v>2175</v>
      </c>
    </row>
    <row r="67" ht="22.5" customHeight="1">
      <c r="A67" s="8" t="s">
        <v>2176</v>
      </c>
      <c r="B67" s="8" t="s">
        <v>1209</v>
      </c>
      <c r="C67" s="8" t="s">
        <v>742</v>
      </c>
      <c r="D67" s="8" t="s">
        <v>430</v>
      </c>
      <c r="E67" s="8">
        <v>10.0</v>
      </c>
      <c r="F67" s="8" t="s">
        <v>818</v>
      </c>
      <c r="G67" s="8">
        <v>60.0</v>
      </c>
      <c r="H67" s="8">
        <v>0.0</v>
      </c>
      <c r="I67" s="8">
        <v>0.0</v>
      </c>
      <c r="J67" s="8">
        <v>10.0</v>
      </c>
      <c r="K67" s="8" t="s">
        <v>1337</v>
      </c>
      <c r="L67" s="37">
        <v>46277.0</v>
      </c>
      <c r="M67" s="8" t="s">
        <v>1351</v>
      </c>
      <c r="N67" s="8" t="s">
        <v>2177</v>
      </c>
      <c r="O67" s="8" t="s">
        <v>2178</v>
      </c>
      <c r="P67" s="8" t="s">
        <v>2179</v>
      </c>
      <c r="Q67" s="8" t="s">
        <v>1901</v>
      </c>
    </row>
    <row r="68" ht="22.5" customHeight="1">
      <c r="A68" s="8" t="s">
        <v>1817</v>
      </c>
      <c r="B68" s="8" t="s">
        <v>1202</v>
      </c>
      <c r="C68" s="8" t="s">
        <v>800</v>
      </c>
      <c r="D68" s="8" t="s">
        <v>430</v>
      </c>
      <c r="E68" s="8">
        <v>30.0</v>
      </c>
      <c r="F68" s="8" t="s">
        <v>791</v>
      </c>
      <c r="G68" s="8">
        <v>10.0</v>
      </c>
      <c r="H68" s="8">
        <v>0.0</v>
      </c>
      <c r="I68" s="8">
        <v>0.0</v>
      </c>
      <c r="J68" s="8">
        <v>30.0</v>
      </c>
      <c r="K68" s="8" t="s">
        <v>1337</v>
      </c>
      <c r="L68" s="37">
        <v>46277.0</v>
      </c>
      <c r="M68" s="8" t="s">
        <v>1351</v>
      </c>
      <c r="N68" s="8" t="s">
        <v>2180</v>
      </c>
      <c r="O68" s="8" t="s">
        <v>2181</v>
      </c>
      <c r="P68" s="8" t="s">
        <v>2182</v>
      </c>
      <c r="Q68" s="8" t="s">
        <v>2183</v>
      </c>
    </row>
    <row r="69" ht="22.5" customHeight="1">
      <c r="A69" s="8" t="s">
        <v>2184</v>
      </c>
      <c r="B69" s="8" t="s">
        <v>1193</v>
      </c>
      <c r="C69" s="8" t="s">
        <v>424</v>
      </c>
      <c r="D69" s="8" t="s">
        <v>416</v>
      </c>
      <c r="E69" s="8">
        <v>10.0</v>
      </c>
      <c r="F69" s="8" t="s">
        <v>989</v>
      </c>
      <c r="G69" s="8">
        <v>20.0</v>
      </c>
      <c r="H69" s="8">
        <v>0.0</v>
      </c>
      <c r="I69" s="8">
        <v>0.0</v>
      </c>
      <c r="J69" s="8">
        <v>10.0</v>
      </c>
      <c r="K69" s="8" t="s">
        <v>1337</v>
      </c>
      <c r="L69" s="37">
        <v>46277.0</v>
      </c>
      <c r="M69" s="8" t="s">
        <v>1351</v>
      </c>
      <c r="N69" s="8" t="s">
        <v>2185</v>
      </c>
      <c r="O69" s="8" t="s">
        <v>2186</v>
      </c>
      <c r="P69" s="8" t="s">
        <v>2187</v>
      </c>
      <c r="Q69" s="8" t="s">
        <v>2188</v>
      </c>
    </row>
    <row r="70" ht="22.5" customHeight="1">
      <c r="A70" s="8" t="s">
        <v>1811</v>
      </c>
      <c r="B70" s="8" t="s">
        <v>1187</v>
      </c>
      <c r="C70" s="8" t="s">
        <v>758</v>
      </c>
      <c r="D70" s="8" t="s">
        <v>416</v>
      </c>
      <c r="E70" s="8">
        <v>10.0</v>
      </c>
      <c r="F70" s="8" t="s">
        <v>818</v>
      </c>
      <c r="G70" s="8">
        <v>39.0</v>
      </c>
      <c r="H70" s="8">
        <v>0.0</v>
      </c>
      <c r="I70" s="8">
        <v>0.0</v>
      </c>
      <c r="J70" s="8">
        <v>10.0</v>
      </c>
      <c r="K70" s="8" t="s">
        <v>1337</v>
      </c>
      <c r="L70" s="37">
        <v>46277.0</v>
      </c>
      <c r="M70" s="8" t="s">
        <v>1351</v>
      </c>
      <c r="N70" s="8" t="s">
        <v>2189</v>
      </c>
      <c r="O70" s="8" t="s">
        <v>2190</v>
      </c>
      <c r="P70" s="8" t="s">
        <v>1673</v>
      </c>
      <c r="Q70" s="8" t="s">
        <v>2191</v>
      </c>
    </row>
    <row r="71" ht="22.5" customHeight="1">
      <c r="A71" s="8" t="s">
        <v>2192</v>
      </c>
      <c r="B71" s="8" t="s">
        <v>1180</v>
      </c>
      <c r="C71" s="8" t="s">
        <v>727</v>
      </c>
      <c r="D71" s="8" t="s">
        <v>416</v>
      </c>
      <c r="E71" s="8">
        <v>2.0</v>
      </c>
      <c r="F71" s="8" t="s">
        <v>359</v>
      </c>
      <c r="G71" s="25">
        <v>250.0</v>
      </c>
      <c r="H71" s="8">
        <v>0.0</v>
      </c>
      <c r="I71" s="8">
        <v>0.0</v>
      </c>
      <c r="J71" s="8">
        <v>2.0</v>
      </c>
      <c r="K71" s="8" t="s">
        <v>2193</v>
      </c>
      <c r="L71" s="37">
        <v>46277.0</v>
      </c>
      <c r="M71" s="8" t="s">
        <v>1351</v>
      </c>
      <c r="N71" s="8" t="s">
        <v>2194</v>
      </c>
      <c r="O71" s="8" t="s">
        <v>2195</v>
      </c>
      <c r="P71" s="8" t="s">
        <v>2196</v>
      </c>
      <c r="Q71" s="8" t="s">
        <v>2108</v>
      </c>
    </row>
    <row r="72" ht="22.5" customHeight="1">
      <c r="A72" s="8" t="s">
        <v>1823</v>
      </c>
      <c r="B72" s="8" t="s">
        <v>1175</v>
      </c>
      <c r="C72" s="8" t="s">
        <v>377</v>
      </c>
      <c r="D72" s="8" t="s">
        <v>362</v>
      </c>
      <c r="E72" s="8">
        <v>100.0</v>
      </c>
      <c r="F72" s="8" t="s">
        <v>791</v>
      </c>
      <c r="G72" s="8">
        <v>39.0</v>
      </c>
      <c r="H72" s="8">
        <v>0.0</v>
      </c>
      <c r="I72" s="8">
        <v>0.0</v>
      </c>
      <c r="J72" s="8">
        <v>100.0</v>
      </c>
      <c r="K72" s="8" t="s">
        <v>1337</v>
      </c>
      <c r="L72" s="37">
        <v>46277.0</v>
      </c>
      <c r="M72" s="8" t="s">
        <v>1351</v>
      </c>
      <c r="N72" s="8" t="s">
        <v>2197</v>
      </c>
      <c r="O72" s="8" t="s">
        <v>2198</v>
      </c>
      <c r="P72" s="8" t="s">
        <v>2199</v>
      </c>
      <c r="Q72" s="8" t="s">
        <v>1884</v>
      </c>
    </row>
    <row r="73" ht="22.5" customHeight="1">
      <c r="A73" s="8" t="s">
        <v>1819</v>
      </c>
      <c r="B73" s="8" t="s">
        <v>1168</v>
      </c>
      <c r="C73" s="8" t="s">
        <v>369</v>
      </c>
      <c r="D73" s="8" t="s">
        <v>362</v>
      </c>
      <c r="E73" s="8">
        <v>10.0</v>
      </c>
      <c r="F73" s="8" t="s">
        <v>989</v>
      </c>
      <c r="G73" s="8">
        <v>99.0</v>
      </c>
      <c r="H73" s="8">
        <v>0.0</v>
      </c>
      <c r="I73" s="8">
        <v>0.0</v>
      </c>
      <c r="J73" s="8">
        <v>10.0</v>
      </c>
      <c r="K73" s="8" t="s">
        <v>1337</v>
      </c>
      <c r="L73" s="37">
        <v>46277.0</v>
      </c>
      <c r="M73" s="8" t="s">
        <v>1351</v>
      </c>
      <c r="N73" s="8" t="s">
        <v>2200</v>
      </c>
      <c r="O73" s="8" t="s">
        <v>2201</v>
      </c>
      <c r="P73" s="8" t="s">
        <v>2202</v>
      </c>
      <c r="Q73" s="8" t="s">
        <v>2203</v>
      </c>
    </row>
    <row r="74" ht="22.5" customHeight="1">
      <c r="A74" s="8" t="s">
        <v>1943</v>
      </c>
      <c r="B74" s="8" t="s">
        <v>1162</v>
      </c>
      <c r="C74" s="8" t="s">
        <v>230</v>
      </c>
      <c r="D74" s="8" t="s">
        <v>13</v>
      </c>
      <c r="E74" s="8">
        <v>5.0</v>
      </c>
      <c r="F74" s="8" t="s">
        <v>359</v>
      </c>
      <c r="G74" s="8">
        <v>74.0</v>
      </c>
      <c r="H74" s="8">
        <v>0.0</v>
      </c>
      <c r="I74" s="8">
        <v>0.0</v>
      </c>
      <c r="J74" s="8">
        <v>5.0</v>
      </c>
      <c r="K74" s="8" t="s">
        <v>1337</v>
      </c>
      <c r="L74" s="37">
        <v>46277.0</v>
      </c>
      <c r="M74" s="8" t="s">
        <v>1351</v>
      </c>
      <c r="N74" s="8" t="s">
        <v>2204</v>
      </c>
      <c r="O74" s="8" t="s">
        <v>2205</v>
      </c>
      <c r="P74" s="8" t="s">
        <v>2206</v>
      </c>
      <c r="Q74" s="8" t="s">
        <v>1714</v>
      </c>
    </row>
    <row r="75" ht="22.5" customHeight="1">
      <c r="A75" s="8" t="s">
        <v>1951</v>
      </c>
      <c r="B75" s="8" t="s">
        <v>1153</v>
      </c>
      <c r="C75" s="8" t="s">
        <v>289</v>
      </c>
      <c r="D75" s="8" t="s">
        <v>13</v>
      </c>
      <c r="E75" s="25">
        <v>5.0</v>
      </c>
      <c r="F75" s="8" t="s">
        <v>359</v>
      </c>
      <c r="G75" s="8">
        <v>147.0</v>
      </c>
      <c r="H75" s="8">
        <v>0.0</v>
      </c>
      <c r="I75" s="8">
        <v>0.0</v>
      </c>
      <c r="J75" s="8">
        <v>5.0</v>
      </c>
      <c r="K75" s="8" t="s">
        <v>1337</v>
      </c>
      <c r="L75" s="37">
        <v>46277.0</v>
      </c>
      <c r="M75" s="8" t="s">
        <v>1351</v>
      </c>
      <c r="N75" s="8" t="s">
        <v>2207</v>
      </c>
      <c r="O75" s="8" t="s">
        <v>2208</v>
      </c>
      <c r="P75" s="8" t="s">
        <v>2209</v>
      </c>
      <c r="Q75" s="8" t="s">
        <v>2210</v>
      </c>
    </row>
    <row r="76" ht="22.5" customHeight="1">
      <c r="A76" s="8" t="s">
        <v>2211</v>
      </c>
      <c r="B76" s="8" t="s">
        <v>1148</v>
      </c>
      <c r="C76" s="8" t="s">
        <v>107</v>
      </c>
      <c r="D76" s="8" t="s">
        <v>13</v>
      </c>
      <c r="E76" s="8">
        <v>10.0</v>
      </c>
      <c r="F76" s="8" t="s">
        <v>359</v>
      </c>
      <c r="G76" s="8">
        <v>64.0</v>
      </c>
      <c r="H76" s="8">
        <v>0.0</v>
      </c>
      <c r="I76" s="8">
        <v>0.0</v>
      </c>
      <c r="J76" s="8">
        <v>10.0</v>
      </c>
      <c r="K76" s="8" t="s">
        <v>1337</v>
      </c>
      <c r="L76" s="37">
        <v>46277.0</v>
      </c>
      <c r="M76" s="8" t="s">
        <v>1351</v>
      </c>
      <c r="N76" s="8" t="s">
        <v>2218</v>
      </c>
      <c r="O76" s="8" t="s">
        <v>2219</v>
      </c>
      <c r="P76" s="8" t="s">
        <v>1807</v>
      </c>
      <c r="Q76" s="8" t="s">
        <v>1714</v>
      </c>
    </row>
    <row r="77" ht="22.5" customHeight="1">
      <c r="A77" s="8" t="s">
        <v>1815</v>
      </c>
      <c r="B77" s="8" t="s">
        <v>1229</v>
      </c>
      <c r="C77" s="8" t="s">
        <v>686</v>
      </c>
      <c r="D77" s="8" t="s">
        <v>416</v>
      </c>
      <c r="E77" s="8">
        <v>50.0</v>
      </c>
      <c r="F77" s="8" t="s">
        <v>359</v>
      </c>
      <c r="G77" s="8">
        <v>110.0</v>
      </c>
      <c r="H77" s="8">
        <v>0.0</v>
      </c>
      <c r="I77" s="8">
        <v>0.0</v>
      </c>
      <c r="J77" s="8">
        <v>50.0</v>
      </c>
      <c r="K77" s="8" t="s">
        <v>1337</v>
      </c>
      <c r="L77" s="37">
        <v>46277.0</v>
      </c>
      <c r="M77" s="8" t="s">
        <v>1351</v>
      </c>
      <c r="N77" s="8" t="s">
        <v>2224</v>
      </c>
      <c r="O77" s="8" t="s">
        <v>2226</v>
      </c>
      <c r="P77" s="8" t="s">
        <v>2228</v>
      </c>
      <c r="Q77" s="8" t="s">
        <v>2230</v>
      </c>
    </row>
    <row r="78" ht="22.5" customHeight="1">
      <c r="A78" s="8" t="s">
        <v>2231</v>
      </c>
      <c r="B78" s="8" t="s">
        <v>1234</v>
      </c>
      <c r="C78" s="8" t="s">
        <v>795</v>
      </c>
      <c r="D78" s="8" t="s">
        <v>416</v>
      </c>
      <c r="E78" s="8">
        <v>50.0</v>
      </c>
      <c r="F78" s="8" t="s">
        <v>359</v>
      </c>
      <c r="G78" s="8">
        <v>110.0</v>
      </c>
      <c r="H78" s="8">
        <v>0.0</v>
      </c>
      <c r="I78" s="8">
        <v>0.0</v>
      </c>
      <c r="J78" s="8">
        <v>50.0</v>
      </c>
      <c r="K78" s="8" t="s">
        <v>1337</v>
      </c>
      <c r="L78" s="37">
        <v>46277.0</v>
      </c>
      <c r="M78" s="8" t="s">
        <v>1351</v>
      </c>
      <c r="N78" s="8" t="s">
        <v>2233</v>
      </c>
      <c r="O78" s="8" t="s">
        <v>2234</v>
      </c>
      <c r="P78" s="8" t="s">
        <v>2228</v>
      </c>
      <c r="Q78" s="8" t="s">
        <v>2235</v>
      </c>
    </row>
    <row r="79" ht="22.5" customHeight="1">
      <c r="A79" s="8" t="s">
        <v>1953</v>
      </c>
      <c r="B79" s="8" t="s">
        <v>1241</v>
      </c>
      <c r="C79" s="8" t="s">
        <v>251</v>
      </c>
      <c r="D79" s="8" t="s">
        <v>13</v>
      </c>
      <c r="E79" s="8">
        <v>30.0</v>
      </c>
      <c r="F79" s="8" t="s">
        <v>359</v>
      </c>
      <c r="G79" s="8">
        <v>64.0</v>
      </c>
      <c r="H79" s="8">
        <v>0.0</v>
      </c>
      <c r="I79" s="8">
        <v>0.0</v>
      </c>
      <c r="J79" s="8">
        <v>30.0</v>
      </c>
      <c r="K79" s="8" t="s">
        <v>1337</v>
      </c>
      <c r="L79" s="37">
        <v>46277.0</v>
      </c>
      <c r="M79" s="8" t="s">
        <v>1351</v>
      </c>
      <c r="N79" s="8" t="s">
        <v>2239</v>
      </c>
      <c r="O79" s="8" t="s">
        <v>2240</v>
      </c>
      <c r="P79" s="8" t="s">
        <v>2241</v>
      </c>
      <c r="Q79" s="8" t="s">
        <v>2243</v>
      </c>
    </row>
    <row r="80" ht="22.5" customHeight="1">
      <c r="A80" s="8" t="s">
        <v>1790</v>
      </c>
      <c r="B80" s="8" t="s">
        <v>1246</v>
      </c>
      <c r="C80" s="8" t="s">
        <v>74</v>
      </c>
      <c r="D80" s="8" t="s">
        <v>13</v>
      </c>
      <c r="E80" s="8">
        <v>40.0</v>
      </c>
      <c r="F80" s="8" t="s">
        <v>359</v>
      </c>
      <c r="G80" s="8">
        <v>39.0</v>
      </c>
      <c r="H80" s="8">
        <v>0.0</v>
      </c>
      <c r="I80" s="8">
        <v>0.0</v>
      </c>
      <c r="J80" s="8">
        <v>40.0</v>
      </c>
      <c r="K80" s="8" t="s">
        <v>1337</v>
      </c>
      <c r="L80" s="37">
        <v>46277.0</v>
      </c>
      <c r="M80" s="8" t="s">
        <v>1351</v>
      </c>
      <c r="N80" s="8" t="s">
        <v>2248</v>
      </c>
      <c r="O80" s="8" t="s">
        <v>2249</v>
      </c>
      <c r="P80" s="8" t="s">
        <v>2250</v>
      </c>
      <c r="Q80" s="8" t="s">
        <v>2062</v>
      </c>
    </row>
    <row r="81" ht="22.5" customHeight="1">
      <c r="A81" s="8" t="s">
        <v>1812</v>
      </c>
      <c r="B81" s="8" t="s">
        <v>1249</v>
      </c>
      <c r="C81" s="8" t="s">
        <v>716</v>
      </c>
      <c r="D81" s="8" t="s">
        <v>416</v>
      </c>
      <c r="E81" s="8">
        <v>5.0</v>
      </c>
      <c r="F81" s="8" t="s">
        <v>359</v>
      </c>
      <c r="G81" s="8">
        <v>449.0</v>
      </c>
      <c r="H81" s="8">
        <v>0.0</v>
      </c>
      <c r="I81" s="8">
        <v>0.0</v>
      </c>
      <c r="J81" s="8">
        <v>5.0</v>
      </c>
      <c r="K81" s="8" t="s">
        <v>1337</v>
      </c>
      <c r="L81" s="37">
        <v>46279.0</v>
      </c>
      <c r="M81" s="8" t="s">
        <v>1351</v>
      </c>
      <c r="N81" s="8" t="s">
        <v>2254</v>
      </c>
      <c r="O81" s="8" t="s">
        <v>2255</v>
      </c>
      <c r="P81" s="8" t="s">
        <v>2256</v>
      </c>
      <c r="Q81" s="8" t="s">
        <v>2257</v>
      </c>
    </row>
    <row r="82" ht="22.5" customHeight="1">
      <c r="A82" s="8" t="s">
        <v>2006</v>
      </c>
      <c r="B82" s="8" t="s">
        <v>1256</v>
      </c>
      <c r="C82" s="8" t="s">
        <v>860</v>
      </c>
      <c r="D82" s="8" t="s">
        <v>861</v>
      </c>
      <c r="E82" s="8">
        <v>100.0</v>
      </c>
      <c r="F82" s="8" t="s">
        <v>359</v>
      </c>
      <c r="G82" s="8">
        <v>94.0</v>
      </c>
      <c r="H82" s="8">
        <v>0.0</v>
      </c>
      <c r="I82" s="8">
        <v>0.0</v>
      </c>
      <c r="J82" s="8">
        <v>100.0</v>
      </c>
      <c r="K82" s="8" t="s">
        <v>1337</v>
      </c>
      <c r="L82" s="37">
        <v>46281.0</v>
      </c>
      <c r="M82" s="8" t="s">
        <v>1351</v>
      </c>
      <c r="N82" s="8" t="s">
        <v>2262</v>
      </c>
      <c r="O82" s="8" t="s">
        <v>2264</v>
      </c>
      <c r="P82" s="8" t="s">
        <v>2265</v>
      </c>
      <c r="Q82" s="8" t="s">
        <v>1862</v>
      </c>
    </row>
    <row r="83" ht="22.5" customHeight="1">
      <c r="A83" s="8" t="s">
        <v>2266</v>
      </c>
      <c r="B83" s="8" t="s">
        <v>1260</v>
      </c>
      <c r="C83" s="8" t="s">
        <v>101</v>
      </c>
      <c r="D83" s="8" t="s">
        <v>13</v>
      </c>
      <c r="E83" s="8">
        <v>5.0</v>
      </c>
      <c r="F83" s="8" t="s">
        <v>359</v>
      </c>
      <c r="G83" s="8">
        <v>54.0</v>
      </c>
      <c r="H83" s="8">
        <v>0.0</v>
      </c>
      <c r="I83" s="8">
        <v>0.0</v>
      </c>
      <c r="J83" s="8">
        <v>5.0</v>
      </c>
      <c r="K83" s="8" t="s">
        <v>1337</v>
      </c>
      <c r="L83" s="37">
        <v>46288.0</v>
      </c>
      <c r="M83" s="8" t="s">
        <v>1351</v>
      </c>
      <c r="N83" s="8" t="s">
        <v>2268</v>
      </c>
      <c r="O83" s="8" t="s">
        <v>2270</v>
      </c>
      <c r="P83" s="8" t="s">
        <v>1820</v>
      </c>
      <c r="Q83" s="8" t="s">
        <v>1361</v>
      </c>
    </row>
    <row r="84" ht="22.5" customHeight="1">
      <c r="A84" s="8" t="s">
        <v>2272</v>
      </c>
      <c r="B84" s="8" t="s">
        <v>1265</v>
      </c>
      <c r="C84" s="8" t="s">
        <v>873</v>
      </c>
      <c r="D84" s="8" t="s">
        <v>430</v>
      </c>
      <c r="E84" s="8">
        <v>3.0</v>
      </c>
      <c r="F84" s="8" t="s">
        <v>359</v>
      </c>
      <c r="G84" s="8">
        <v>34.0</v>
      </c>
      <c r="H84" s="8">
        <v>0.0</v>
      </c>
      <c r="I84" s="8">
        <v>0.0</v>
      </c>
      <c r="J84" s="8">
        <v>3.0</v>
      </c>
      <c r="K84" s="8" t="s">
        <v>1337</v>
      </c>
      <c r="L84" s="37">
        <v>46289.0</v>
      </c>
      <c r="M84" s="8" t="s">
        <v>1351</v>
      </c>
      <c r="N84" s="8" t="s">
        <v>2275</v>
      </c>
      <c r="O84" s="8" t="s">
        <v>2276</v>
      </c>
      <c r="P84" s="8" t="s">
        <v>2277</v>
      </c>
      <c r="Q84" s="8" t="s">
        <v>2278</v>
      </c>
    </row>
    <row r="85" ht="22.5" customHeight="1">
      <c r="A85" s="8" t="s">
        <v>1822</v>
      </c>
      <c r="B85" s="8" t="s">
        <v>1272</v>
      </c>
      <c r="C85" s="8" t="s">
        <v>517</v>
      </c>
      <c r="D85" s="8" t="s">
        <v>362</v>
      </c>
      <c r="E85" s="8">
        <v>20.0</v>
      </c>
      <c r="F85" s="8" t="s">
        <v>359</v>
      </c>
      <c r="G85" s="8">
        <v>230.0</v>
      </c>
      <c r="H85" s="8">
        <v>0.0</v>
      </c>
      <c r="I85" s="8">
        <v>0.0</v>
      </c>
      <c r="J85" s="8">
        <v>20.0</v>
      </c>
      <c r="K85" s="8" t="s">
        <v>1337</v>
      </c>
      <c r="L85" s="58">
        <v>46289.0</v>
      </c>
      <c r="M85" s="8" t="s">
        <v>1351</v>
      </c>
      <c r="N85" s="8" t="s">
        <v>2281</v>
      </c>
      <c r="O85" s="8" t="s">
        <v>2282</v>
      </c>
      <c r="P85" s="8" t="s">
        <v>2209</v>
      </c>
      <c r="Q85" s="8" t="s">
        <v>2283</v>
      </c>
    </row>
    <row r="86" ht="22.5" customHeight="1">
      <c r="A86" s="8" t="s">
        <v>2284</v>
      </c>
      <c r="B86" s="8" t="s">
        <v>1278</v>
      </c>
      <c r="C86" s="8" t="s">
        <v>226</v>
      </c>
      <c r="D86" s="8" t="s">
        <v>13</v>
      </c>
      <c r="E86" s="8">
        <v>100.0</v>
      </c>
      <c r="F86" s="8" t="s">
        <v>791</v>
      </c>
      <c r="G86" s="8">
        <v>25.0</v>
      </c>
      <c r="H86" s="8">
        <v>0.0</v>
      </c>
      <c r="I86" s="8">
        <v>0.0</v>
      </c>
      <c r="J86" s="8">
        <v>100.0</v>
      </c>
      <c r="K86" s="8" t="s">
        <v>1337</v>
      </c>
      <c r="L86" s="37">
        <v>46289.0</v>
      </c>
      <c r="M86" s="8" t="s">
        <v>1351</v>
      </c>
      <c r="N86" s="8" t="s">
        <v>2285</v>
      </c>
      <c r="O86" s="8" t="s">
        <v>2286</v>
      </c>
      <c r="P86" s="8" t="s">
        <v>2265</v>
      </c>
      <c r="Q86" s="8" t="s">
        <v>1862</v>
      </c>
    </row>
    <row r="87" ht="22.5" customHeight="1">
      <c r="A87" s="8" t="s">
        <v>1835</v>
      </c>
      <c r="B87" s="8" t="s">
        <v>1282</v>
      </c>
      <c r="C87" s="8" t="s">
        <v>901</v>
      </c>
      <c r="D87" s="8" t="s">
        <v>893</v>
      </c>
      <c r="E87" s="8">
        <v>25.0</v>
      </c>
      <c r="F87" s="8" t="s">
        <v>359</v>
      </c>
      <c r="G87" s="8">
        <v>209.0</v>
      </c>
      <c r="H87" s="8">
        <v>0.0</v>
      </c>
      <c r="I87" s="8">
        <v>0.0</v>
      </c>
      <c r="J87" s="8">
        <v>25.0</v>
      </c>
      <c r="K87" s="8" t="s">
        <v>1337</v>
      </c>
      <c r="L87" s="37">
        <v>46293.0</v>
      </c>
      <c r="M87" s="8" t="s">
        <v>1351</v>
      </c>
      <c r="N87" s="8" t="s">
        <v>2287</v>
      </c>
      <c r="O87" s="8" t="s">
        <v>2288</v>
      </c>
      <c r="P87" s="8" t="s">
        <v>2289</v>
      </c>
      <c r="Q87" s="8" t="s">
        <v>1382</v>
      </c>
    </row>
    <row r="88" ht="22.5" customHeight="1">
      <c r="A88" s="8" t="s">
        <v>1836</v>
      </c>
      <c r="B88" s="8" t="s">
        <v>1287</v>
      </c>
      <c r="C88" s="8" t="s">
        <v>934</v>
      </c>
      <c r="D88" s="8" t="s">
        <v>893</v>
      </c>
      <c r="E88" s="8">
        <v>25.0</v>
      </c>
      <c r="F88" s="8" t="s">
        <v>359</v>
      </c>
      <c r="G88" s="8">
        <v>93.0</v>
      </c>
      <c r="H88" s="8">
        <v>0.0</v>
      </c>
      <c r="I88" s="8">
        <v>0.0</v>
      </c>
      <c r="J88" s="8">
        <v>25.0</v>
      </c>
      <c r="K88" s="8" t="s">
        <v>1337</v>
      </c>
      <c r="L88" s="37">
        <v>46293.0</v>
      </c>
      <c r="M88" s="8" t="s">
        <v>1351</v>
      </c>
      <c r="N88" s="8" t="s">
        <v>2290</v>
      </c>
      <c r="O88" s="8" t="s">
        <v>2291</v>
      </c>
      <c r="P88" s="8" t="s">
        <v>2292</v>
      </c>
      <c r="Q88" s="8" t="s">
        <v>2293</v>
      </c>
    </row>
    <row r="89" ht="22.5" customHeight="1">
      <c r="A89" s="8" t="s">
        <v>1837</v>
      </c>
      <c r="B89" s="8" t="s">
        <v>1292</v>
      </c>
      <c r="C89" s="8" t="s">
        <v>912</v>
      </c>
      <c r="D89" s="8" t="s">
        <v>893</v>
      </c>
      <c r="E89" s="8">
        <v>25.0</v>
      </c>
      <c r="F89" s="8" t="s">
        <v>359</v>
      </c>
      <c r="G89" s="8">
        <v>139.0</v>
      </c>
      <c r="H89" s="8">
        <v>0.0</v>
      </c>
      <c r="I89" s="8">
        <v>0.0</v>
      </c>
      <c r="J89" s="8">
        <v>25.0</v>
      </c>
      <c r="K89" s="8" t="s">
        <v>1337</v>
      </c>
      <c r="L89" s="37">
        <v>46293.0</v>
      </c>
      <c r="M89" s="8" t="s">
        <v>1351</v>
      </c>
      <c r="N89" s="8" t="s">
        <v>2294</v>
      </c>
      <c r="O89" s="8" t="s">
        <v>2295</v>
      </c>
      <c r="P89" s="8" t="s">
        <v>2296</v>
      </c>
      <c r="Q89" s="8" t="s">
        <v>1714</v>
      </c>
    </row>
    <row r="90" ht="22.5" customHeight="1">
      <c r="A90" s="8" t="s">
        <v>1839</v>
      </c>
      <c r="B90" s="8" t="s">
        <v>1299</v>
      </c>
      <c r="C90" s="8" t="s">
        <v>928</v>
      </c>
      <c r="D90" s="8" t="s">
        <v>893</v>
      </c>
      <c r="E90" s="8">
        <v>25.0</v>
      </c>
      <c r="F90" s="8" t="s">
        <v>359</v>
      </c>
      <c r="G90" s="8">
        <v>134.0</v>
      </c>
      <c r="H90" s="8">
        <v>0.0</v>
      </c>
      <c r="I90" s="8">
        <v>0.0</v>
      </c>
      <c r="J90" s="8">
        <v>25.0</v>
      </c>
      <c r="K90" s="8" t="s">
        <v>1337</v>
      </c>
      <c r="L90" s="37">
        <v>46293.0</v>
      </c>
      <c r="M90" s="8" t="s">
        <v>1351</v>
      </c>
      <c r="N90" s="8" t="s">
        <v>2297</v>
      </c>
      <c r="O90" s="8" t="s">
        <v>2298</v>
      </c>
      <c r="P90" s="8" t="s">
        <v>2299</v>
      </c>
      <c r="Q90" s="8" t="s">
        <v>2283</v>
      </c>
    </row>
    <row r="91" ht="22.5" customHeight="1">
      <c r="A91" s="8" t="s">
        <v>1843</v>
      </c>
      <c r="B91" s="8" t="s">
        <v>1306</v>
      </c>
      <c r="C91" s="8" t="s">
        <v>918</v>
      </c>
      <c r="D91" s="8" t="s">
        <v>893</v>
      </c>
      <c r="E91" s="8">
        <v>25.0</v>
      </c>
      <c r="F91" s="8" t="s">
        <v>359</v>
      </c>
      <c r="G91" s="25">
        <v>249.0</v>
      </c>
      <c r="H91" s="8">
        <v>0.0</v>
      </c>
      <c r="I91" s="8">
        <v>0.0</v>
      </c>
      <c r="J91" s="8">
        <v>25.0</v>
      </c>
      <c r="K91" s="8" t="s">
        <v>1337</v>
      </c>
      <c r="L91" s="37">
        <v>46293.0</v>
      </c>
      <c r="M91" s="8" t="s">
        <v>1351</v>
      </c>
      <c r="N91" s="8" t="s">
        <v>2300</v>
      </c>
      <c r="O91" s="8" t="s">
        <v>2301</v>
      </c>
      <c r="P91" s="8" t="s">
        <v>2296</v>
      </c>
      <c r="Q91" s="8" t="s">
        <v>1382</v>
      </c>
    </row>
    <row r="92" ht="22.5" customHeight="1">
      <c r="A92" s="8" t="s">
        <v>1845</v>
      </c>
      <c r="B92" s="8" t="s">
        <v>1313</v>
      </c>
      <c r="C92" s="8" t="s">
        <v>892</v>
      </c>
      <c r="D92" s="25" t="s">
        <v>893</v>
      </c>
      <c r="E92" s="25">
        <v>25.0</v>
      </c>
      <c r="F92" s="8" t="s">
        <v>359</v>
      </c>
      <c r="G92" s="8">
        <v>64.0</v>
      </c>
      <c r="H92" s="8">
        <v>0.0</v>
      </c>
      <c r="I92" s="8">
        <v>0.0</v>
      </c>
      <c r="J92" s="8">
        <v>25.0</v>
      </c>
      <c r="K92" s="8" t="s">
        <v>1337</v>
      </c>
      <c r="L92" s="37">
        <v>46293.0</v>
      </c>
      <c r="M92" s="8" t="s">
        <v>1351</v>
      </c>
      <c r="N92" s="8" t="s">
        <v>2302</v>
      </c>
      <c r="O92" s="8" t="s">
        <v>2303</v>
      </c>
      <c r="P92" s="8" t="s">
        <v>2296</v>
      </c>
      <c r="Q92" s="8" t="s">
        <v>1714</v>
      </c>
    </row>
    <row r="93" ht="22.5" customHeight="1">
      <c r="A93" s="8" t="s">
        <v>1846</v>
      </c>
      <c r="B93" s="8" t="s">
        <v>1320</v>
      </c>
      <c r="C93" s="8" t="s">
        <v>940</v>
      </c>
      <c r="D93" s="8" t="s">
        <v>893</v>
      </c>
      <c r="E93" s="8">
        <v>25.0</v>
      </c>
      <c r="F93" s="8" t="s">
        <v>359</v>
      </c>
      <c r="G93" s="8">
        <v>129.0</v>
      </c>
      <c r="H93" s="8">
        <v>0.0</v>
      </c>
      <c r="I93" s="8">
        <v>0.0</v>
      </c>
      <c r="J93" s="8">
        <v>25.0</v>
      </c>
      <c r="K93" s="8" t="s">
        <v>1337</v>
      </c>
      <c r="L93" s="37">
        <v>46293.0</v>
      </c>
      <c r="M93" s="8" t="s">
        <v>1351</v>
      </c>
      <c r="N93" s="8" t="s">
        <v>2304</v>
      </c>
      <c r="O93" s="8" t="s">
        <v>2305</v>
      </c>
      <c r="P93" s="8" t="s">
        <v>2306</v>
      </c>
      <c r="Q93" s="8" t="s">
        <v>1714</v>
      </c>
    </row>
    <row r="94" ht="22.5" customHeight="1">
      <c r="A94" s="8" t="s">
        <v>1847</v>
      </c>
      <c r="B94" s="8" t="s">
        <v>1326</v>
      </c>
      <c r="C94" s="8" t="s">
        <v>947</v>
      </c>
      <c r="D94" s="8" t="s">
        <v>893</v>
      </c>
      <c r="E94" s="8">
        <v>25.0</v>
      </c>
      <c r="F94" s="8" t="s">
        <v>359</v>
      </c>
      <c r="G94" s="8">
        <v>129.0</v>
      </c>
      <c r="H94" s="8">
        <v>0.0</v>
      </c>
      <c r="I94" s="8">
        <v>0.0</v>
      </c>
      <c r="J94" s="8">
        <v>25.0</v>
      </c>
      <c r="K94" s="25" t="s">
        <v>1337</v>
      </c>
      <c r="L94" s="37">
        <v>46293.0</v>
      </c>
      <c r="M94" s="8" t="s">
        <v>1351</v>
      </c>
      <c r="N94" s="8" t="s">
        <v>2307</v>
      </c>
      <c r="O94" s="8" t="s">
        <v>2308</v>
      </c>
      <c r="P94" s="8" t="s">
        <v>2299</v>
      </c>
      <c r="Q94" s="8" t="s">
        <v>1714</v>
      </c>
    </row>
    <row r="95" ht="22.5" customHeight="1">
      <c r="A95" s="8" t="s">
        <v>1855</v>
      </c>
      <c r="B95" s="8" t="s">
        <v>1331</v>
      </c>
      <c r="C95" s="8" t="s">
        <v>956</v>
      </c>
      <c r="D95" s="8" t="s">
        <v>958</v>
      </c>
      <c r="E95" s="8">
        <v>50.0</v>
      </c>
      <c r="F95" s="8" t="s">
        <v>359</v>
      </c>
      <c r="G95" s="8">
        <v>69.0</v>
      </c>
      <c r="H95" s="8">
        <v>0.0</v>
      </c>
      <c r="I95" s="8">
        <v>0.0</v>
      </c>
      <c r="J95" s="8">
        <v>50.0</v>
      </c>
      <c r="K95" s="8" t="s">
        <v>1337</v>
      </c>
      <c r="L95" s="37">
        <v>46296.0</v>
      </c>
      <c r="M95" s="8" t="s">
        <v>1351</v>
      </c>
      <c r="N95" s="8" t="s">
        <v>2313</v>
      </c>
      <c r="O95" s="8" t="s">
        <v>2316</v>
      </c>
      <c r="P95" s="8" t="s">
        <v>2318</v>
      </c>
      <c r="Q95" s="8" t="s">
        <v>2320</v>
      </c>
    </row>
    <row r="96" ht="22.5" customHeight="1">
      <c r="A96" s="8" t="s">
        <v>1851</v>
      </c>
      <c r="B96" s="8" t="s">
        <v>1335</v>
      </c>
      <c r="C96" s="8" t="s">
        <v>963</v>
      </c>
      <c r="D96" s="8" t="s">
        <v>966</v>
      </c>
      <c r="E96" s="8">
        <v>100.0</v>
      </c>
      <c r="F96" s="8" t="s">
        <v>359</v>
      </c>
      <c r="G96" s="8">
        <v>117.0</v>
      </c>
      <c r="H96" s="8">
        <v>0.0</v>
      </c>
      <c r="I96" s="8">
        <v>0.0</v>
      </c>
      <c r="J96" s="8">
        <v>100.0</v>
      </c>
      <c r="K96" s="8" t="s">
        <v>1337</v>
      </c>
      <c r="L96" s="37">
        <v>46296.0</v>
      </c>
      <c r="M96" s="8" t="s">
        <v>1351</v>
      </c>
      <c r="N96" s="8" t="s">
        <v>2332</v>
      </c>
      <c r="O96" s="8" t="s">
        <v>2333</v>
      </c>
      <c r="P96" s="8" t="s">
        <v>2334</v>
      </c>
      <c r="Q96" s="8" t="s">
        <v>2335</v>
      </c>
    </row>
    <row r="97" ht="22.5" customHeight="1">
      <c r="A97" s="8" t="s">
        <v>1854</v>
      </c>
      <c r="B97" s="8" t="s">
        <v>1340</v>
      </c>
      <c r="C97" s="8" t="s">
        <v>1343</v>
      </c>
      <c r="D97" s="8" t="s">
        <v>966</v>
      </c>
      <c r="E97" s="8">
        <v>100.0</v>
      </c>
      <c r="F97" s="8" t="s">
        <v>359</v>
      </c>
      <c r="G97" s="8">
        <v>136.0</v>
      </c>
      <c r="H97" s="8">
        <v>0.0</v>
      </c>
      <c r="I97" s="8">
        <v>0.0</v>
      </c>
      <c r="J97" s="8">
        <v>100.0</v>
      </c>
      <c r="K97" s="8" t="s">
        <v>1337</v>
      </c>
      <c r="L97" s="37">
        <v>46296.0</v>
      </c>
      <c r="M97" s="8" t="s">
        <v>1351</v>
      </c>
      <c r="N97" s="8" t="s">
        <v>2336</v>
      </c>
      <c r="O97" s="8" t="s">
        <v>2337</v>
      </c>
      <c r="P97" s="8" t="s">
        <v>2334</v>
      </c>
      <c r="Q97" s="8" t="s">
        <v>2338</v>
      </c>
    </row>
    <row r="98" ht="22.5" customHeight="1">
      <c r="A98" s="8" t="s">
        <v>2339</v>
      </c>
      <c r="B98" s="8" t="s">
        <v>1345</v>
      </c>
      <c r="C98" s="8" t="s">
        <v>661</v>
      </c>
      <c r="D98" s="8" t="s">
        <v>362</v>
      </c>
      <c r="E98" s="8">
        <v>20.0</v>
      </c>
      <c r="F98" s="8" t="s">
        <v>791</v>
      </c>
      <c r="G98" s="8">
        <v>54.0</v>
      </c>
      <c r="H98" s="8">
        <v>0.0</v>
      </c>
      <c r="I98" s="8">
        <v>0.0</v>
      </c>
      <c r="J98" s="8">
        <v>20.0</v>
      </c>
      <c r="K98" s="8" t="s">
        <v>1337</v>
      </c>
      <c r="L98" s="37">
        <v>46298.0</v>
      </c>
      <c r="M98" s="8" t="s">
        <v>1351</v>
      </c>
      <c r="N98" s="8" t="s">
        <v>2340</v>
      </c>
      <c r="O98" s="8" t="s">
        <v>2341</v>
      </c>
      <c r="P98" s="8" t="s">
        <v>2342</v>
      </c>
      <c r="Q98" s="8" t="s">
        <v>1878</v>
      </c>
    </row>
    <row r="99" ht="22.5" customHeight="1">
      <c r="A99" s="8" t="s">
        <v>1873</v>
      </c>
      <c r="B99" s="8" t="s">
        <v>1350</v>
      </c>
      <c r="C99" s="8" t="s">
        <v>477</v>
      </c>
      <c r="D99" s="8" t="s">
        <v>362</v>
      </c>
      <c r="E99" s="8">
        <v>10.0</v>
      </c>
      <c r="F99" s="8" t="s">
        <v>359</v>
      </c>
      <c r="G99" s="8">
        <v>229.0</v>
      </c>
      <c r="H99" s="8">
        <v>0.0</v>
      </c>
      <c r="I99" s="8">
        <v>0.0</v>
      </c>
      <c r="J99" s="8">
        <v>10.0</v>
      </c>
      <c r="K99" s="8" t="s">
        <v>1337</v>
      </c>
      <c r="L99" s="37">
        <v>46301.0</v>
      </c>
      <c r="M99" s="8" t="s">
        <v>1351</v>
      </c>
      <c r="N99" s="8" t="s">
        <v>2343</v>
      </c>
      <c r="O99" s="8" t="s">
        <v>2344</v>
      </c>
      <c r="P99" s="8" t="s">
        <v>2345</v>
      </c>
      <c r="Q99" s="8" t="s">
        <v>1862</v>
      </c>
      <c r="R99" s="8" t="s">
        <v>147</v>
      </c>
    </row>
    <row r="100" ht="22.5" customHeight="1">
      <c r="A100" s="8" t="s">
        <v>1875</v>
      </c>
      <c r="B100" s="8" t="s">
        <v>1356</v>
      </c>
      <c r="C100" s="8" t="s">
        <v>995</v>
      </c>
      <c r="D100" s="8" t="s">
        <v>958</v>
      </c>
      <c r="E100" s="8">
        <v>20.0</v>
      </c>
      <c r="F100" s="8" t="s">
        <v>818</v>
      </c>
      <c r="G100" s="8">
        <v>219.0</v>
      </c>
      <c r="H100" s="8">
        <v>0.0</v>
      </c>
      <c r="I100" s="8">
        <v>0.0</v>
      </c>
      <c r="J100" s="8">
        <v>20.0</v>
      </c>
      <c r="K100" s="8" t="s">
        <v>1337</v>
      </c>
      <c r="L100" s="37">
        <v>46301.0</v>
      </c>
      <c r="M100" s="8" t="s">
        <v>1351</v>
      </c>
      <c r="N100" s="8" t="s">
        <v>2346</v>
      </c>
      <c r="O100" s="8" t="s">
        <v>2347</v>
      </c>
      <c r="P100" s="8" t="s">
        <v>2179</v>
      </c>
      <c r="Q100" s="8" t="s">
        <v>2348</v>
      </c>
    </row>
    <row r="101" ht="22.5" customHeight="1">
      <c r="C101" s="44"/>
    </row>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c r="H734" s="44"/>
    </row>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7.57"/>
    <col customWidth="1" min="2" max="2" width="41.43"/>
    <col customWidth="1" min="3" max="3" width="33.57"/>
    <col customWidth="1" min="4" max="4" width="30.0"/>
    <col customWidth="1" min="5" max="5" width="39.43"/>
    <col customWidth="1" min="6" max="6" width="23.29"/>
    <col customWidth="1" min="7" max="7" width="24.29"/>
    <col customWidth="1" min="8" max="8" width="20.57"/>
    <col customWidth="1" min="9" max="9" width="15.71"/>
    <col customWidth="1" min="10" max="11" width="27.0"/>
    <col customWidth="1" min="12" max="12" width="26.29"/>
    <col customWidth="1" min="13" max="13" width="20.57"/>
    <col customWidth="1" min="14" max="14" width="15.71"/>
    <col customWidth="1" min="15" max="16" width="23.29"/>
    <col customWidth="1" min="17" max="17" width="24.71"/>
    <col customWidth="1" min="18" max="21" width="23.29"/>
    <col customWidth="1" min="22" max="22" width="24.71"/>
    <col customWidth="1" min="23" max="24" width="45.71"/>
    <col customWidth="1" min="25" max="25" width="18.14"/>
    <col customWidth="1" min="26" max="26" width="23.29"/>
    <col customWidth="1" min="27" max="27" width="41.57"/>
    <col customWidth="1" min="28" max="28" width="20.57"/>
    <col customWidth="1" min="29" max="29" width="15.71"/>
    <col customWidth="1" min="30" max="30" width="16.29"/>
    <col customWidth="1" min="31" max="31" width="23.29"/>
    <col customWidth="1" min="32" max="32" width="24.71"/>
    <col customWidth="1" min="33" max="33" width="20.57"/>
    <col customWidth="1" min="34" max="34" width="15.71"/>
    <col customWidth="1" min="35" max="35" width="16.29"/>
    <col customWidth="1" min="36" max="36" width="23.29"/>
    <col customWidth="1" min="37" max="37" width="23.43"/>
    <col customWidth="1" min="38" max="38" width="20.57"/>
    <col customWidth="1" min="39" max="39" width="15.71"/>
    <col customWidth="1" min="40" max="40" width="16.29"/>
    <col customWidth="1" min="41" max="41" width="23.29"/>
    <col customWidth="1" min="42" max="42" width="29.0"/>
    <col customWidth="1" min="43" max="43" width="20.57"/>
    <col customWidth="1" min="44" max="44" width="15.71"/>
    <col customWidth="1" min="45" max="110" width="16.29"/>
    <col customWidth="1" min="111" max="111" width="17.29"/>
    <col customWidth="1" min="112" max="112" width="18.43"/>
    <col customWidth="1" min="113" max="113" width="18.0"/>
    <col customWidth="1" min="114" max="114" width="50.57"/>
    <col customWidth="1" min="115" max="115" width="45.0"/>
  </cols>
  <sheetData>
    <row r="1" ht="22.5" customHeight="1">
      <c r="A1" s="6" t="s">
        <v>1536</v>
      </c>
      <c r="B1" s="6" t="s">
        <v>1537</v>
      </c>
      <c r="C1" s="6" t="s">
        <v>1540</v>
      </c>
      <c r="D1" s="6" t="s">
        <v>1542</v>
      </c>
      <c r="E1" s="6" t="s">
        <v>1543</v>
      </c>
      <c r="F1" s="6" t="s">
        <v>1544</v>
      </c>
      <c r="G1" s="6" t="s">
        <v>1545</v>
      </c>
      <c r="H1" s="6" t="s">
        <v>1547</v>
      </c>
      <c r="I1" s="6" t="s">
        <v>1549</v>
      </c>
      <c r="J1" s="6" t="s">
        <v>1550</v>
      </c>
      <c r="K1" s="6" t="s">
        <v>1552</v>
      </c>
      <c r="L1" s="6" t="s">
        <v>1553</v>
      </c>
      <c r="M1" s="6" t="s">
        <v>1554</v>
      </c>
      <c r="N1" s="6" t="s">
        <v>1556</v>
      </c>
      <c r="O1" s="6" t="s">
        <v>1558</v>
      </c>
      <c r="P1" s="6" t="s">
        <v>1560</v>
      </c>
      <c r="Q1" s="6" t="s">
        <v>1561</v>
      </c>
      <c r="R1" s="6" t="s">
        <v>1563</v>
      </c>
      <c r="S1" s="6" t="s">
        <v>1565</v>
      </c>
      <c r="T1" s="6" t="s">
        <v>1566</v>
      </c>
      <c r="U1" s="6" t="s">
        <v>1571</v>
      </c>
      <c r="V1" s="6" t="s">
        <v>1573</v>
      </c>
      <c r="W1" s="6" t="s">
        <v>1575</v>
      </c>
      <c r="X1" s="6" t="s">
        <v>1577</v>
      </c>
      <c r="Y1" s="6" t="s">
        <v>1580</v>
      </c>
      <c r="Z1" s="6" t="s">
        <v>1581</v>
      </c>
      <c r="AA1" s="6" t="s">
        <v>1582</v>
      </c>
      <c r="AB1" s="6" t="s">
        <v>1583</v>
      </c>
      <c r="AC1" s="6" t="s">
        <v>1585</v>
      </c>
      <c r="AD1" s="6" t="s">
        <v>1587</v>
      </c>
      <c r="AE1" s="6" t="s">
        <v>1589</v>
      </c>
      <c r="AF1" s="6" t="s">
        <v>1591</v>
      </c>
      <c r="AG1" s="6" t="s">
        <v>1592</v>
      </c>
      <c r="AH1" s="6" t="s">
        <v>1595</v>
      </c>
      <c r="AI1" s="6" t="s">
        <v>1598</v>
      </c>
      <c r="AJ1" s="6" t="s">
        <v>1600</v>
      </c>
      <c r="AK1" s="6" t="s">
        <v>1602</v>
      </c>
      <c r="AL1" s="6" t="s">
        <v>1606</v>
      </c>
      <c r="AM1" s="6" t="s">
        <v>1609</v>
      </c>
      <c r="AN1" s="6" t="s">
        <v>1610</v>
      </c>
      <c r="AO1" s="6" t="s">
        <v>1613</v>
      </c>
      <c r="AP1" s="6" t="s">
        <v>1615</v>
      </c>
      <c r="AQ1" s="6" t="s">
        <v>1617</v>
      </c>
      <c r="AR1" s="6" t="s">
        <v>1618</v>
      </c>
      <c r="AS1" s="6" t="s">
        <v>1619</v>
      </c>
      <c r="AT1" s="23" t="s">
        <v>1621</v>
      </c>
      <c r="AU1" s="23" t="s">
        <v>1624</v>
      </c>
      <c r="AV1" s="23" t="s">
        <v>1627</v>
      </c>
      <c r="AW1" s="23" t="s">
        <v>1629</v>
      </c>
      <c r="AX1" s="23" t="s">
        <v>1631</v>
      </c>
      <c r="AY1" s="23" t="s">
        <v>1634</v>
      </c>
      <c r="AZ1" s="23" t="s">
        <v>1636</v>
      </c>
      <c r="BA1" s="23" t="s">
        <v>1637</v>
      </c>
      <c r="BB1" s="23" t="s">
        <v>1639</v>
      </c>
      <c r="BC1" s="23" t="s">
        <v>1640</v>
      </c>
      <c r="BD1" s="23" t="s">
        <v>1642</v>
      </c>
      <c r="BE1" s="23" t="s">
        <v>1645</v>
      </c>
      <c r="BF1" s="23" t="s">
        <v>1647</v>
      </c>
      <c r="BG1" s="23" t="s">
        <v>1648</v>
      </c>
      <c r="BH1" s="23" t="s">
        <v>1650</v>
      </c>
      <c r="BI1" s="23" t="s">
        <v>1651</v>
      </c>
      <c r="BJ1" s="23" t="s">
        <v>1652</v>
      </c>
      <c r="BK1" s="23" t="s">
        <v>1654</v>
      </c>
      <c r="BL1" s="23" t="s">
        <v>1655</v>
      </c>
      <c r="BM1" s="23" t="s">
        <v>1656</v>
      </c>
      <c r="BN1" s="23" t="s">
        <v>1658</v>
      </c>
      <c r="BO1" s="23" t="s">
        <v>1659</v>
      </c>
      <c r="BP1" s="23" t="s">
        <v>1661</v>
      </c>
      <c r="BQ1" s="23" t="s">
        <v>1663</v>
      </c>
      <c r="BR1" s="23" t="s">
        <v>1668</v>
      </c>
      <c r="BS1" s="23" t="s">
        <v>1670</v>
      </c>
      <c r="BT1" s="23" t="s">
        <v>1672</v>
      </c>
      <c r="BU1" s="23" t="s">
        <v>1674</v>
      </c>
      <c r="BV1" s="23" t="s">
        <v>1676</v>
      </c>
      <c r="BW1" s="23" t="s">
        <v>1677</v>
      </c>
      <c r="BX1" s="23" t="s">
        <v>1679</v>
      </c>
      <c r="BY1" s="23" t="s">
        <v>1681</v>
      </c>
      <c r="BZ1" s="23" t="s">
        <v>1682</v>
      </c>
      <c r="CA1" s="23" t="s">
        <v>1684</v>
      </c>
      <c r="CB1" s="23" t="s">
        <v>1685</v>
      </c>
      <c r="CC1" s="23" t="s">
        <v>1686</v>
      </c>
      <c r="CD1" s="23" t="s">
        <v>1687</v>
      </c>
      <c r="CE1" s="23" t="s">
        <v>1688</v>
      </c>
      <c r="CF1" s="23" t="s">
        <v>1689</v>
      </c>
      <c r="CG1" s="23" t="s">
        <v>1690</v>
      </c>
      <c r="CH1" s="23" t="s">
        <v>1691</v>
      </c>
      <c r="CI1" s="23" t="s">
        <v>1692</v>
      </c>
      <c r="CJ1" s="23" t="s">
        <v>1693</v>
      </c>
      <c r="CK1" s="23" t="s">
        <v>1694</v>
      </c>
      <c r="CL1" s="23" t="s">
        <v>1695</v>
      </c>
      <c r="CM1" s="23" t="s">
        <v>1696</v>
      </c>
      <c r="CN1" s="23" t="s">
        <v>1697</v>
      </c>
      <c r="CO1" s="23" t="s">
        <v>1698</v>
      </c>
      <c r="CP1" s="23" t="s">
        <v>1699</v>
      </c>
      <c r="CQ1" s="23" t="s">
        <v>1700</v>
      </c>
      <c r="CR1" s="23" t="s">
        <v>1701</v>
      </c>
      <c r="CS1" s="23" t="s">
        <v>1703</v>
      </c>
      <c r="CT1" s="23" t="s">
        <v>1704</v>
      </c>
      <c r="CU1" s="23" t="s">
        <v>1705</v>
      </c>
      <c r="CV1" s="23" t="s">
        <v>1707</v>
      </c>
      <c r="CW1" s="23" t="s">
        <v>1708</v>
      </c>
      <c r="CX1" s="23" t="s">
        <v>1710</v>
      </c>
      <c r="CY1" s="23" t="s">
        <v>1711</v>
      </c>
      <c r="CZ1" s="23" t="s">
        <v>1713</v>
      </c>
      <c r="DA1" s="23" t="s">
        <v>1715</v>
      </c>
      <c r="DB1" s="23" t="s">
        <v>1716</v>
      </c>
      <c r="DC1" s="23" t="s">
        <v>1717</v>
      </c>
      <c r="DD1" s="23" t="s">
        <v>1718</v>
      </c>
      <c r="DE1" s="23" t="s">
        <v>1719</v>
      </c>
      <c r="DF1" s="23" t="s">
        <v>1720</v>
      </c>
      <c r="DG1" s="6" t="s">
        <v>1721</v>
      </c>
      <c r="DH1" s="6" t="s">
        <v>1723</v>
      </c>
      <c r="DI1" s="6" t="s">
        <v>1724</v>
      </c>
      <c r="DJ1" s="6" t="s">
        <v>1726</v>
      </c>
      <c r="DK1" s="6" t="s">
        <v>1727</v>
      </c>
    </row>
    <row r="2" ht="22.5" customHeight="1">
      <c r="A2" s="8" t="s">
        <v>1729</v>
      </c>
      <c r="B2" s="37">
        <v>46300.0</v>
      </c>
      <c r="C2" s="8" t="s">
        <v>1732</v>
      </c>
      <c r="D2" s="8" t="s">
        <v>1734</v>
      </c>
      <c r="E2" s="8" t="s">
        <v>1735</v>
      </c>
      <c r="F2" s="8" t="s">
        <v>1327</v>
      </c>
      <c r="G2" s="8" t="s">
        <v>128</v>
      </c>
      <c r="H2" s="8" t="s">
        <v>13</v>
      </c>
      <c r="I2" s="8">
        <v>500.0</v>
      </c>
      <c r="J2" s="8" t="s">
        <v>1737</v>
      </c>
      <c r="K2" s="8" t="s">
        <v>1365</v>
      </c>
      <c r="L2" s="8" t="s">
        <v>50</v>
      </c>
      <c r="M2" s="8" t="s">
        <v>13</v>
      </c>
      <c r="N2" s="8">
        <v>500.0</v>
      </c>
      <c r="O2" s="8" t="s">
        <v>1737</v>
      </c>
      <c r="P2" s="8" t="s">
        <v>1722</v>
      </c>
      <c r="Q2" s="8" t="s">
        <v>59</v>
      </c>
      <c r="R2" s="8" t="s">
        <v>13</v>
      </c>
      <c r="S2" s="8">
        <v>350.0</v>
      </c>
      <c r="T2" s="8" t="s">
        <v>1737</v>
      </c>
      <c r="U2" s="8" t="s">
        <v>1643</v>
      </c>
      <c r="V2" s="8" t="s">
        <v>12</v>
      </c>
      <c r="W2" s="8" t="s">
        <v>13</v>
      </c>
      <c r="X2" s="8">
        <v>750.0</v>
      </c>
      <c r="Y2" s="8" t="s">
        <v>1737</v>
      </c>
      <c r="Z2" s="8" t="s">
        <v>1744</v>
      </c>
      <c r="AA2" s="8" t="s">
        <v>144</v>
      </c>
      <c r="AB2" s="8" t="s">
        <v>13</v>
      </c>
      <c r="AC2" s="8">
        <v>1.0</v>
      </c>
      <c r="AD2" s="8" t="s">
        <v>791</v>
      </c>
      <c r="AE2" s="8" t="s">
        <v>1746</v>
      </c>
      <c r="AF2" s="8" t="s">
        <v>83</v>
      </c>
      <c r="AG2" s="8" t="s">
        <v>13</v>
      </c>
      <c r="AH2" s="8">
        <v>300.0</v>
      </c>
      <c r="AI2" s="8" t="s">
        <v>1737</v>
      </c>
      <c r="AJ2" s="8" t="s">
        <v>1481</v>
      </c>
      <c r="AK2" s="8" t="s">
        <v>382</v>
      </c>
      <c r="AL2" s="8" t="s">
        <v>362</v>
      </c>
      <c r="AM2" s="8">
        <v>4.0</v>
      </c>
      <c r="AN2" s="8" t="s">
        <v>791</v>
      </c>
      <c r="AO2" s="8" t="s">
        <v>1747</v>
      </c>
      <c r="AP2" s="8" t="s">
        <v>669</v>
      </c>
      <c r="AQ2" s="8" t="s">
        <v>465</v>
      </c>
      <c r="AR2" s="8">
        <v>3.0</v>
      </c>
      <c r="AS2" s="8" t="s">
        <v>1749</v>
      </c>
      <c r="AT2" s="8" t="s">
        <v>1750</v>
      </c>
      <c r="AU2" s="8" t="s">
        <v>511</v>
      </c>
      <c r="AV2" s="8" t="s">
        <v>817</v>
      </c>
      <c r="AW2" s="8">
        <v>1.0</v>
      </c>
      <c r="AX2" s="8" t="s">
        <v>185</v>
      </c>
      <c r="AY2" s="8" t="s">
        <v>1754</v>
      </c>
      <c r="AZ2" s="8" t="s">
        <v>518</v>
      </c>
      <c r="BA2" s="8" t="s">
        <v>817</v>
      </c>
      <c r="BB2" s="8">
        <v>2.0</v>
      </c>
      <c r="BC2" s="8" t="s">
        <v>1760</v>
      </c>
      <c r="BD2" s="8" t="s">
        <v>1761</v>
      </c>
      <c r="BE2" s="8" t="s">
        <v>114</v>
      </c>
      <c r="BF2" s="8" t="s">
        <v>13</v>
      </c>
      <c r="BG2" s="8">
        <v>350.0</v>
      </c>
      <c r="BH2" s="8" t="s">
        <v>1737</v>
      </c>
      <c r="BI2" s="8" t="s">
        <v>1764</v>
      </c>
      <c r="BJ2" s="8" t="s">
        <v>495</v>
      </c>
      <c r="BK2" s="8" t="s">
        <v>817</v>
      </c>
      <c r="BL2" s="8">
        <v>1.0</v>
      </c>
      <c r="BM2" s="25" t="s">
        <v>185</v>
      </c>
      <c r="BN2" s="8" t="s">
        <v>1768</v>
      </c>
      <c r="BO2" s="8" t="s">
        <v>403</v>
      </c>
      <c r="BP2" s="8" t="s">
        <v>362</v>
      </c>
      <c r="BQ2" s="8">
        <v>1.0</v>
      </c>
      <c r="BR2" s="8" t="s">
        <v>214</v>
      </c>
      <c r="BS2" s="8" t="s">
        <v>1769</v>
      </c>
      <c r="BT2" s="8" t="s">
        <v>184</v>
      </c>
      <c r="BU2" s="8" t="s">
        <v>13</v>
      </c>
      <c r="BV2" s="8">
        <v>2.0</v>
      </c>
      <c r="BW2" s="8" t="s">
        <v>214</v>
      </c>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v>259.0</v>
      </c>
      <c r="DH2" s="8" t="s">
        <v>15</v>
      </c>
      <c r="DI2" s="8">
        <v>1.0</v>
      </c>
      <c r="DJ2" s="8" t="s">
        <v>1778</v>
      </c>
      <c r="DK2" s="8" t="s">
        <v>1779</v>
      </c>
    </row>
    <row r="3" ht="22.5" customHeight="1">
      <c r="A3" s="8" t="s">
        <v>1780</v>
      </c>
      <c r="B3" s="37">
        <v>46300.0</v>
      </c>
      <c r="C3" s="8" t="s">
        <v>1782</v>
      </c>
      <c r="D3" s="8" t="s">
        <v>1784</v>
      </c>
      <c r="E3" s="8" t="s">
        <v>1786</v>
      </c>
      <c r="F3" s="8" t="s">
        <v>1722</v>
      </c>
      <c r="G3" s="8" t="s">
        <v>59</v>
      </c>
      <c r="H3" s="8" t="s">
        <v>13</v>
      </c>
      <c r="I3" s="8">
        <v>900.0</v>
      </c>
      <c r="J3" s="8" t="s">
        <v>1737</v>
      </c>
      <c r="K3" s="8" t="s">
        <v>1643</v>
      </c>
      <c r="L3" s="8" t="s">
        <v>12</v>
      </c>
      <c r="M3" s="8" t="s">
        <v>13</v>
      </c>
      <c r="N3" s="8">
        <v>1.2</v>
      </c>
      <c r="O3" s="8" t="s">
        <v>359</v>
      </c>
      <c r="P3" s="8" t="s">
        <v>1790</v>
      </c>
      <c r="Q3" s="8" t="s">
        <v>74</v>
      </c>
      <c r="R3" s="8" t="s">
        <v>13</v>
      </c>
      <c r="S3" s="8">
        <v>750.0</v>
      </c>
      <c r="T3" s="8" t="s">
        <v>1737</v>
      </c>
      <c r="U3" s="8" t="s">
        <v>1746</v>
      </c>
      <c r="V3" s="8" t="s">
        <v>83</v>
      </c>
      <c r="W3" s="8" t="s">
        <v>13</v>
      </c>
      <c r="X3" s="8">
        <v>300.0</v>
      </c>
      <c r="Y3" s="8" t="s">
        <v>1737</v>
      </c>
      <c r="Z3" s="8" t="s">
        <v>1365</v>
      </c>
      <c r="AA3" s="8" t="s">
        <v>50</v>
      </c>
      <c r="AB3" s="8" t="s">
        <v>13</v>
      </c>
      <c r="AC3" s="8">
        <v>1.0</v>
      </c>
      <c r="AD3" s="8" t="s">
        <v>359</v>
      </c>
      <c r="AE3" s="8" t="s">
        <v>1791</v>
      </c>
      <c r="AF3" s="8" t="s">
        <v>221</v>
      </c>
      <c r="AG3" s="8" t="s">
        <v>13</v>
      </c>
      <c r="AH3" s="8">
        <v>1.0</v>
      </c>
      <c r="AI3" s="8" t="s">
        <v>791</v>
      </c>
      <c r="AJ3" s="8" t="s">
        <v>1481</v>
      </c>
      <c r="AK3" s="8" t="s">
        <v>382</v>
      </c>
      <c r="AL3" s="8" t="s">
        <v>362</v>
      </c>
      <c r="AM3" s="8">
        <v>8.0</v>
      </c>
      <c r="AN3" s="8" t="s">
        <v>791</v>
      </c>
      <c r="AO3" s="8" t="s">
        <v>1754</v>
      </c>
      <c r="AP3" s="8" t="s">
        <v>518</v>
      </c>
      <c r="AQ3" s="8" t="s">
        <v>465</v>
      </c>
      <c r="AR3" s="8">
        <v>3.0</v>
      </c>
      <c r="AS3" s="8" t="s">
        <v>818</v>
      </c>
      <c r="AT3" s="8" t="s">
        <v>1764</v>
      </c>
      <c r="AU3" s="8" t="s">
        <v>495</v>
      </c>
      <c r="AV3" s="8" t="s">
        <v>817</v>
      </c>
      <c r="AW3" s="8">
        <v>1.0</v>
      </c>
      <c r="AX3" s="8" t="s">
        <v>214</v>
      </c>
      <c r="AY3" s="8" t="s">
        <v>1539</v>
      </c>
      <c r="AZ3" s="8" t="s">
        <v>406</v>
      </c>
      <c r="BA3" s="8" t="s">
        <v>362</v>
      </c>
      <c r="BB3" s="8">
        <v>4.0</v>
      </c>
      <c r="BC3" s="8" t="s">
        <v>214</v>
      </c>
      <c r="BD3" s="8" t="s">
        <v>1768</v>
      </c>
      <c r="BE3" s="8" t="s">
        <v>403</v>
      </c>
      <c r="BF3" s="8" t="s">
        <v>362</v>
      </c>
      <c r="BG3" s="8">
        <v>3.0</v>
      </c>
      <c r="BH3" s="8" t="s">
        <v>214</v>
      </c>
      <c r="BI3" s="8" t="s">
        <v>1747</v>
      </c>
      <c r="BJ3" s="8" t="s">
        <v>669</v>
      </c>
      <c r="BK3" s="8" t="s">
        <v>817</v>
      </c>
      <c r="BL3" s="8">
        <v>3.0</v>
      </c>
      <c r="BM3" s="25" t="s">
        <v>185</v>
      </c>
      <c r="BN3" s="8" t="s">
        <v>1765</v>
      </c>
      <c r="BO3" s="8" t="s">
        <v>28</v>
      </c>
      <c r="BP3" s="8" t="s">
        <v>13</v>
      </c>
      <c r="BQ3" s="8">
        <v>600.0</v>
      </c>
      <c r="BR3" s="8" t="s">
        <v>1737</v>
      </c>
      <c r="BS3" s="8" t="s">
        <v>1750</v>
      </c>
      <c r="BT3" s="8" t="s">
        <v>511</v>
      </c>
      <c r="BU3" s="8" t="s">
        <v>817</v>
      </c>
      <c r="BV3" s="8">
        <v>2.0</v>
      </c>
      <c r="BW3" s="8" t="s">
        <v>185</v>
      </c>
      <c r="BX3" s="8" t="s">
        <v>1744</v>
      </c>
      <c r="BY3" s="8" t="s">
        <v>144</v>
      </c>
      <c r="BZ3" s="8" t="s">
        <v>13</v>
      </c>
      <c r="CA3" s="8">
        <v>1.0</v>
      </c>
      <c r="CB3" s="8" t="s">
        <v>214</v>
      </c>
      <c r="CC3" s="8" t="s">
        <v>1590</v>
      </c>
      <c r="CD3" s="8" t="s">
        <v>204</v>
      </c>
      <c r="CE3" s="8" t="s">
        <v>13</v>
      </c>
      <c r="CF3" s="8">
        <v>1.0</v>
      </c>
      <c r="CG3" s="8" t="s">
        <v>214</v>
      </c>
      <c r="CH3" s="8" t="s">
        <v>1769</v>
      </c>
      <c r="CI3" s="8" t="s">
        <v>184</v>
      </c>
      <c r="CJ3" s="8" t="s">
        <v>13</v>
      </c>
      <c r="CK3" s="8">
        <v>5.0</v>
      </c>
      <c r="CL3" s="8" t="s">
        <v>214</v>
      </c>
      <c r="DG3" s="8">
        <v>499.0</v>
      </c>
      <c r="DH3" s="8" t="s">
        <v>15</v>
      </c>
      <c r="DI3" s="25">
        <v>2.0</v>
      </c>
      <c r="DJ3" s="8" t="s">
        <v>1801</v>
      </c>
      <c r="DK3" s="8" t="s">
        <v>1802</v>
      </c>
    </row>
    <row r="4" ht="22.5" customHeight="1">
      <c r="A4" s="8" t="s">
        <v>1804</v>
      </c>
      <c r="B4" s="37">
        <v>46300.0</v>
      </c>
      <c r="C4" s="8" t="s">
        <v>1806</v>
      </c>
      <c r="D4" s="8" t="s">
        <v>1808</v>
      </c>
      <c r="E4" s="8" t="s">
        <v>1809</v>
      </c>
      <c r="F4" s="8" t="s">
        <v>1795</v>
      </c>
      <c r="G4" s="8" t="s">
        <v>710</v>
      </c>
      <c r="H4" s="8" t="s">
        <v>712</v>
      </c>
      <c r="I4" s="8">
        <v>250.0</v>
      </c>
      <c r="J4" s="8" t="s">
        <v>1810</v>
      </c>
      <c r="K4" s="8" t="s">
        <v>1811</v>
      </c>
      <c r="L4" s="8" t="s">
        <v>758</v>
      </c>
      <c r="M4" s="8" t="s">
        <v>416</v>
      </c>
      <c r="N4" s="8">
        <v>1.0</v>
      </c>
      <c r="O4" s="8" t="s">
        <v>818</v>
      </c>
      <c r="P4" s="8" t="s">
        <v>1812</v>
      </c>
      <c r="Q4" s="8" t="s">
        <v>716</v>
      </c>
      <c r="R4" s="8" t="s">
        <v>416</v>
      </c>
      <c r="S4" s="8">
        <v>1.0</v>
      </c>
      <c r="T4" s="8" t="s">
        <v>818</v>
      </c>
      <c r="U4" s="8" t="s">
        <v>1813</v>
      </c>
      <c r="V4" s="8" t="s">
        <v>539</v>
      </c>
      <c r="W4" s="8" t="s">
        <v>430</v>
      </c>
      <c r="X4" s="8">
        <v>1.0</v>
      </c>
      <c r="Y4" s="8" t="s">
        <v>1814</v>
      </c>
      <c r="Z4" s="8" t="s">
        <v>1815</v>
      </c>
      <c r="AA4" s="8" t="s">
        <v>686</v>
      </c>
      <c r="AB4" s="8" t="s">
        <v>416</v>
      </c>
      <c r="AC4" s="8">
        <v>1.0</v>
      </c>
      <c r="AD4" s="8" t="s">
        <v>818</v>
      </c>
      <c r="AE4" s="8" t="s">
        <v>1817</v>
      </c>
      <c r="AF4" s="8" t="s">
        <v>800</v>
      </c>
      <c r="AG4" s="8" t="s">
        <v>430</v>
      </c>
      <c r="AH4" s="8">
        <v>3.0</v>
      </c>
      <c r="AI4" s="8" t="s">
        <v>791</v>
      </c>
      <c r="AJ4" s="8" t="s">
        <v>1819</v>
      </c>
      <c r="AK4" s="8" t="s">
        <v>369</v>
      </c>
      <c r="AL4" s="8" t="s">
        <v>362</v>
      </c>
      <c r="AM4" s="8">
        <v>3.0</v>
      </c>
      <c r="AN4" s="8" t="s">
        <v>791</v>
      </c>
      <c r="AO4" s="8" t="s">
        <v>1822</v>
      </c>
      <c r="AP4" s="8" t="s">
        <v>517</v>
      </c>
      <c r="AQ4" s="8" t="s">
        <v>362</v>
      </c>
      <c r="AR4" s="8">
        <v>3.0</v>
      </c>
      <c r="AS4" s="8" t="s">
        <v>791</v>
      </c>
      <c r="AT4" s="8" t="s">
        <v>1768</v>
      </c>
      <c r="AU4" s="8" t="s">
        <v>403</v>
      </c>
      <c r="AV4" s="8" t="s">
        <v>362</v>
      </c>
      <c r="AW4" s="8">
        <v>1.0</v>
      </c>
      <c r="AX4" s="8" t="s">
        <v>214</v>
      </c>
      <c r="AY4" s="8" t="s">
        <v>1823</v>
      </c>
      <c r="AZ4" s="8" t="s">
        <v>377</v>
      </c>
      <c r="BA4" s="8" t="s">
        <v>362</v>
      </c>
      <c r="BB4" s="8">
        <v>1.0</v>
      </c>
      <c r="BC4" s="8" t="s">
        <v>214</v>
      </c>
      <c r="BD4" s="8" t="s">
        <v>1386</v>
      </c>
      <c r="BE4" s="8" t="s">
        <v>428</v>
      </c>
      <c r="BF4" s="8" t="s">
        <v>430</v>
      </c>
      <c r="BG4" s="8">
        <v>1.0</v>
      </c>
      <c r="BH4" s="8" t="s">
        <v>185</v>
      </c>
      <c r="DG4" s="8">
        <v>259.0</v>
      </c>
      <c r="DH4" s="8" t="s">
        <v>15</v>
      </c>
      <c r="DI4" s="8">
        <v>5.0</v>
      </c>
      <c r="DJ4" s="8" t="s">
        <v>1826</v>
      </c>
      <c r="DK4" s="8" t="s">
        <v>1828</v>
      </c>
    </row>
    <row r="5" ht="22.5" customHeight="1">
      <c r="A5" s="8" t="s">
        <v>1831</v>
      </c>
      <c r="B5" s="37">
        <v>46300.0</v>
      </c>
      <c r="C5" s="8" t="s">
        <v>1832</v>
      </c>
      <c r="D5" s="8" t="s">
        <v>1833</v>
      </c>
      <c r="E5" s="8" t="s">
        <v>1834</v>
      </c>
      <c r="F5" s="8" t="s">
        <v>1835</v>
      </c>
      <c r="G5" s="8" t="s">
        <v>901</v>
      </c>
      <c r="H5" s="8" t="s">
        <v>893</v>
      </c>
      <c r="I5" s="8">
        <v>250.0</v>
      </c>
      <c r="J5" s="8" t="s">
        <v>1737</v>
      </c>
      <c r="K5" s="8" t="s">
        <v>1836</v>
      </c>
      <c r="L5" s="8" t="s">
        <v>934</v>
      </c>
      <c r="M5" s="8" t="s">
        <v>893</v>
      </c>
      <c r="N5" s="8">
        <v>750.0</v>
      </c>
      <c r="O5" s="8" t="s">
        <v>1737</v>
      </c>
      <c r="P5" s="8" t="s">
        <v>1837</v>
      </c>
      <c r="Q5" s="8" t="s">
        <v>912</v>
      </c>
      <c r="R5" s="8" t="s">
        <v>893</v>
      </c>
      <c r="S5" s="8">
        <v>250.0</v>
      </c>
      <c r="T5" s="8" t="s">
        <v>1737</v>
      </c>
      <c r="U5" s="8" t="s">
        <v>1839</v>
      </c>
      <c r="V5" s="8" t="s">
        <v>928</v>
      </c>
      <c r="W5" s="8" t="s">
        <v>893</v>
      </c>
      <c r="X5" s="8">
        <v>250.0</v>
      </c>
      <c r="Y5" s="8" t="s">
        <v>1737</v>
      </c>
      <c r="Z5" s="8" t="s">
        <v>1843</v>
      </c>
      <c r="AA5" s="8" t="s">
        <v>918</v>
      </c>
      <c r="AB5" s="8" t="s">
        <v>893</v>
      </c>
      <c r="AC5" s="8">
        <v>250.0</v>
      </c>
      <c r="AD5" s="8" t="s">
        <v>1737</v>
      </c>
      <c r="AE5" s="8" t="s">
        <v>1845</v>
      </c>
      <c r="AF5" s="8" t="s">
        <v>892</v>
      </c>
      <c r="AG5" s="8" t="s">
        <v>893</v>
      </c>
      <c r="AH5" s="8">
        <v>500.0</v>
      </c>
      <c r="AI5" s="8" t="s">
        <v>1737</v>
      </c>
      <c r="AJ5" s="8" t="s">
        <v>1846</v>
      </c>
      <c r="AK5" s="8" t="s">
        <v>940</v>
      </c>
      <c r="AL5" s="8" t="s">
        <v>893</v>
      </c>
      <c r="AM5" s="8">
        <v>250.0</v>
      </c>
      <c r="AN5" s="8" t="s">
        <v>1737</v>
      </c>
      <c r="AO5" s="8" t="s">
        <v>1847</v>
      </c>
      <c r="AP5" s="8" t="s">
        <v>947</v>
      </c>
      <c r="AQ5" s="8" t="s">
        <v>893</v>
      </c>
      <c r="AR5" s="8">
        <v>500.0</v>
      </c>
      <c r="AS5" s="8" t="s">
        <v>1737</v>
      </c>
      <c r="AT5" s="8" t="s">
        <v>1851</v>
      </c>
      <c r="AU5" s="8" t="s">
        <v>963</v>
      </c>
      <c r="AV5" s="8" t="s">
        <v>966</v>
      </c>
      <c r="AW5" s="8">
        <v>250.0</v>
      </c>
      <c r="AX5" s="8" t="s">
        <v>1737</v>
      </c>
      <c r="AY5" s="8" t="s">
        <v>1854</v>
      </c>
      <c r="AZ5" s="8" t="s">
        <v>1343</v>
      </c>
      <c r="BA5" s="8" t="s">
        <v>966</v>
      </c>
      <c r="BB5" s="8">
        <v>250.0</v>
      </c>
      <c r="BC5" s="8" t="s">
        <v>1737</v>
      </c>
      <c r="BD5" s="8" t="s">
        <v>1855</v>
      </c>
      <c r="BE5" s="8" t="s">
        <v>956</v>
      </c>
      <c r="BF5" s="8" t="s">
        <v>958</v>
      </c>
      <c r="BG5" s="8">
        <v>500.0</v>
      </c>
      <c r="BH5" s="8" t="s">
        <v>1737</v>
      </c>
      <c r="DG5" s="8">
        <v>579.0</v>
      </c>
      <c r="DH5" s="8" t="s">
        <v>15</v>
      </c>
      <c r="DI5" s="8">
        <v>3.0</v>
      </c>
      <c r="DJ5" s="8" t="s">
        <v>1856</v>
      </c>
      <c r="DK5" s="25" t="s">
        <v>1858</v>
      </c>
    </row>
    <row r="6" ht="22.5" customHeight="1">
      <c r="A6" s="8" t="s">
        <v>1861</v>
      </c>
      <c r="B6" s="37">
        <v>46301.0</v>
      </c>
      <c r="C6" s="8" t="s">
        <v>1863</v>
      </c>
      <c r="D6" s="8" t="s">
        <v>1864</v>
      </c>
      <c r="E6" s="8" t="s">
        <v>1866</v>
      </c>
      <c r="F6" s="8" t="s">
        <v>1769</v>
      </c>
      <c r="G6" s="8" t="s">
        <v>184</v>
      </c>
      <c r="H6" s="8" t="s">
        <v>13</v>
      </c>
      <c r="I6" s="8">
        <v>3.0</v>
      </c>
      <c r="J6" s="8" t="s">
        <v>791</v>
      </c>
      <c r="K6" s="8" t="s">
        <v>1867</v>
      </c>
      <c r="L6" s="8" t="s">
        <v>642</v>
      </c>
      <c r="M6" s="8" t="s">
        <v>13</v>
      </c>
      <c r="N6" s="8">
        <v>60.0</v>
      </c>
      <c r="O6" s="8" t="s">
        <v>1737</v>
      </c>
      <c r="P6" s="8" t="s">
        <v>1643</v>
      </c>
      <c r="Q6" s="8" t="s">
        <v>12</v>
      </c>
      <c r="R6" s="8" t="s">
        <v>13</v>
      </c>
      <c r="S6" s="8">
        <v>80.0</v>
      </c>
      <c r="T6" s="8" t="s">
        <v>1737</v>
      </c>
      <c r="U6" s="8" t="s">
        <v>1868</v>
      </c>
      <c r="V6" s="8" t="s">
        <v>313</v>
      </c>
      <c r="W6" s="8" t="s">
        <v>13</v>
      </c>
      <c r="X6" s="8">
        <v>200.0</v>
      </c>
      <c r="Y6" s="8" t="s">
        <v>1737</v>
      </c>
      <c r="Z6" s="8" t="s">
        <v>1746</v>
      </c>
      <c r="AA6" s="8" t="s">
        <v>83</v>
      </c>
      <c r="AB6" s="8" t="s">
        <v>13</v>
      </c>
      <c r="AC6" s="8">
        <v>50.0</v>
      </c>
      <c r="AD6" s="8" t="s">
        <v>1737</v>
      </c>
      <c r="AE6" s="8" t="s">
        <v>1744</v>
      </c>
      <c r="AF6" s="8" t="s">
        <v>144</v>
      </c>
      <c r="AG6" s="8" t="s">
        <v>13</v>
      </c>
      <c r="AH6" s="8">
        <v>1.0</v>
      </c>
      <c r="AI6" s="8" t="s">
        <v>791</v>
      </c>
      <c r="AJ6" s="8" t="s">
        <v>1722</v>
      </c>
      <c r="AK6" s="8" t="s">
        <v>59</v>
      </c>
      <c r="AL6" s="8" t="s">
        <v>13</v>
      </c>
      <c r="AM6" s="8">
        <v>100.0</v>
      </c>
      <c r="AN6" s="8" t="s">
        <v>1737</v>
      </c>
      <c r="AO6" s="8" t="s">
        <v>1754</v>
      </c>
      <c r="AP6" s="8" t="s">
        <v>518</v>
      </c>
      <c r="AQ6" s="8" t="s">
        <v>465</v>
      </c>
      <c r="AR6" s="8">
        <v>50.0</v>
      </c>
      <c r="AS6" s="8" t="s">
        <v>1737</v>
      </c>
      <c r="AT6" s="8" t="s">
        <v>1750</v>
      </c>
      <c r="AU6" s="8" t="s">
        <v>511</v>
      </c>
      <c r="AV6" s="8" t="s">
        <v>817</v>
      </c>
      <c r="AW6" s="8">
        <v>1.0</v>
      </c>
      <c r="AX6" s="8" t="s">
        <v>185</v>
      </c>
      <c r="AY6" s="8" t="s">
        <v>1854</v>
      </c>
      <c r="AZ6" s="8" t="s">
        <v>1343</v>
      </c>
      <c r="BA6" s="8" t="s">
        <v>966</v>
      </c>
      <c r="BB6" s="8">
        <v>150.0</v>
      </c>
      <c r="BC6" s="8" t="s">
        <v>1737</v>
      </c>
      <c r="BD6" s="8" t="s">
        <v>1873</v>
      </c>
      <c r="BE6" s="8" t="s">
        <v>477</v>
      </c>
      <c r="BF6" s="8" t="s">
        <v>362</v>
      </c>
      <c r="BG6" s="8">
        <v>80.0</v>
      </c>
      <c r="BH6" s="8" t="s">
        <v>1737</v>
      </c>
      <c r="BI6" s="8" t="s">
        <v>1875</v>
      </c>
      <c r="BJ6" s="8" t="s">
        <v>995</v>
      </c>
      <c r="BK6" s="8" t="s">
        <v>958</v>
      </c>
      <c r="BL6" s="8">
        <v>30.0</v>
      </c>
      <c r="BM6" s="8" t="s">
        <v>1737</v>
      </c>
      <c r="BN6" s="8" t="s">
        <v>1365</v>
      </c>
      <c r="BO6" s="8" t="s">
        <v>50</v>
      </c>
      <c r="BP6" s="8" t="s">
        <v>13</v>
      </c>
      <c r="BQ6" s="8">
        <v>60.0</v>
      </c>
      <c r="BR6" s="8" t="s">
        <v>1737</v>
      </c>
      <c r="BS6" s="8" t="s">
        <v>1683</v>
      </c>
      <c r="BT6" s="8" t="s">
        <v>190</v>
      </c>
      <c r="BU6" s="8" t="s">
        <v>13</v>
      </c>
      <c r="BV6" s="8">
        <v>60.0</v>
      </c>
      <c r="BW6" s="8" t="s">
        <v>1737</v>
      </c>
      <c r="BX6" s="8" t="s">
        <v>1790</v>
      </c>
      <c r="BY6" s="8" t="s">
        <v>74</v>
      </c>
      <c r="BZ6" s="8" t="s">
        <v>13</v>
      </c>
      <c r="CA6" s="8">
        <v>60.0</v>
      </c>
      <c r="CB6" s="8" t="s">
        <v>1737</v>
      </c>
      <c r="DG6" s="8">
        <v>149.0</v>
      </c>
      <c r="DH6" s="8" t="s">
        <v>15</v>
      </c>
      <c r="DI6" s="8">
        <v>4.0</v>
      </c>
      <c r="DJ6" s="8" t="s">
        <v>1879</v>
      </c>
      <c r="DK6" s="25" t="s">
        <v>1880</v>
      </c>
    </row>
    <row r="7" ht="22.5" customHeight="1">
      <c r="B7" s="44"/>
    </row>
    <row r="8" ht="22.5" customHeight="1">
      <c r="DK8" s="44"/>
    </row>
    <row r="9" ht="22.5" customHeight="1">
      <c r="B9" s="44"/>
      <c r="AW9" s="44"/>
    </row>
    <row r="10" ht="22.5" customHeight="1"/>
    <row r="11" ht="22.5" customHeight="1">
      <c r="DK11" s="44"/>
    </row>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0"/>
    <col customWidth="1" min="2" max="4" width="26.57"/>
    <col customWidth="1" min="5" max="5" width="25.57"/>
    <col customWidth="1" min="6" max="6" width="19.71"/>
    <col customWidth="1" min="7" max="7" width="32.14"/>
    <col customWidth="1" min="8" max="8" width="55.43"/>
    <col customWidth="1" min="9" max="9" width="17.57"/>
    <col customWidth="1" min="10" max="10" width="18.0"/>
    <col customWidth="1" min="11" max="11" width="17.57"/>
    <col customWidth="1" min="12" max="12" width="20.0"/>
    <col customWidth="1" min="13" max="13" width="19.29"/>
    <col customWidth="1" min="14" max="14" width="19.86"/>
    <col customWidth="1" min="15" max="16" width="17.71"/>
    <col customWidth="1" min="17" max="17" width="20.0"/>
    <col customWidth="1" min="18" max="18" width="100.43"/>
    <col customWidth="1" min="19" max="19" width="74.71"/>
    <col customWidth="1" min="20" max="22" width="41.0"/>
  </cols>
  <sheetData>
    <row r="1" ht="27.75" customHeight="1">
      <c r="A1" s="6" t="s">
        <v>1588</v>
      </c>
      <c r="B1" s="6" t="s">
        <v>1593</v>
      </c>
      <c r="C1" s="6" t="s">
        <v>1597</v>
      </c>
      <c r="D1" s="6" t="s">
        <v>1599</v>
      </c>
      <c r="E1" s="6" t="s">
        <v>1601</v>
      </c>
      <c r="F1" s="6" t="s">
        <v>1604</v>
      </c>
      <c r="G1" s="6" t="s">
        <v>1607</v>
      </c>
      <c r="H1" s="6" t="s">
        <v>1608</v>
      </c>
      <c r="I1" s="6" t="s">
        <v>1611</v>
      </c>
      <c r="J1" s="6" t="s">
        <v>1542</v>
      </c>
      <c r="K1" s="6" t="s">
        <v>1616</v>
      </c>
      <c r="L1" s="6" t="s">
        <v>645</v>
      </c>
      <c r="M1" s="6" t="s">
        <v>1620</v>
      </c>
      <c r="N1" s="6" t="s">
        <v>1623</v>
      </c>
      <c r="O1" s="6" t="s">
        <v>1628</v>
      </c>
      <c r="P1" s="6" t="s">
        <v>1632</v>
      </c>
      <c r="Q1" s="6" t="s">
        <v>1635</v>
      </c>
      <c r="R1" s="6" t="s">
        <v>5</v>
      </c>
      <c r="S1" s="6" t="s">
        <v>1638</v>
      </c>
      <c r="T1" s="6" t="s">
        <v>1641</v>
      </c>
      <c r="U1" s="6" t="s">
        <v>1644</v>
      </c>
      <c r="V1" s="6" t="s">
        <v>1646</v>
      </c>
    </row>
    <row r="2" ht="22.5" customHeight="1">
      <c r="A2" s="8" t="s">
        <v>1649</v>
      </c>
      <c r="B2" s="41">
        <v>46284.7440162037</v>
      </c>
      <c r="C2" s="8" t="s">
        <v>1653</v>
      </c>
      <c r="D2" s="37">
        <v>46284.0</v>
      </c>
      <c r="E2" s="8" t="s">
        <v>1657</v>
      </c>
      <c r="F2" s="8">
        <v>6.303425583E9</v>
      </c>
      <c r="G2" s="8" t="s">
        <v>1660</v>
      </c>
      <c r="H2" s="8" t="s">
        <v>1662</v>
      </c>
      <c r="I2" s="8" t="s">
        <v>1664</v>
      </c>
      <c r="K2" s="8" t="s">
        <v>1665</v>
      </c>
      <c r="L2" s="8" t="s">
        <v>1666</v>
      </c>
      <c r="M2" s="8" t="s">
        <v>1667</v>
      </c>
      <c r="N2" s="8">
        <v>49.0</v>
      </c>
      <c r="O2" s="8">
        <v>292.5</v>
      </c>
      <c r="P2" s="8">
        <v>242.5</v>
      </c>
      <c r="Q2" s="8" t="s">
        <v>1649</v>
      </c>
      <c r="R2" s="8" t="s">
        <v>1678</v>
      </c>
      <c r="S2" s="42" t="s">
        <v>1680</v>
      </c>
      <c r="T2" s="42" t="s">
        <v>1702</v>
      </c>
      <c r="U2" s="8">
        <v>14.54</v>
      </c>
      <c r="V2" s="8"/>
    </row>
    <row r="3" ht="22.5" customHeight="1">
      <c r="A3" s="8" t="s">
        <v>1725</v>
      </c>
      <c r="B3" s="41">
        <v>46290.665613425925</v>
      </c>
      <c r="C3" s="8" t="s">
        <v>1728</v>
      </c>
      <c r="D3" s="37">
        <v>46291.0</v>
      </c>
      <c r="E3" s="8" t="s">
        <v>1730</v>
      </c>
      <c r="F3" s="8">
        <v>8.688750792E9</v>
      </c>
      <c r="G3" s="8" t="s">
        <v>1731</v>
      </c>
      <c r="H3" s="8" t="s">
        <v>1733</v>
      </c>
      <c r="I3" s="8" t="s">
        <v>1664</v>
      </c>
      <c r="K3" s="8" t="s">
        <v>1736</v>
      </c>
      <c r="L3" s="8" t="s">
        <v>1666</v>
      </c>
      <c r="M3" s="8" t="s">
        <v>1667</v>
      </c>
      <c r="N3" s="8">
        <v>0.0</v>
      </c>
      <c r="O3" s="8">
        <v>265.25</v>
      </c>
      <c r="P3" s="8">
        <v>265.25</v>
      </c>
      <c r="Q3" s="8" t="s">
        <v>1725</v>
      </c>
      <c r="R3" s="8" t="s">
        <v>1738</v>
      </c>
      <c r="S3" s="42" t="s">
        <v>1739</v>
      </c>
      <c r="T3" s="42" t="s">
        <v>1745</v>
      </c>
      <c r="U3" s="8">
        <v>6.41</v>
      </c>
      <c r="V3" s="8" t="s">
        <v>1748</v>
      </c>
    </row>
    <row r="4" ht="22.5" customHeight="1">
      <c r="A4" s="8" t="s">
        <v>1751</v>
      </c>
      <c r="B4" s="41">
        <v>46292.0</v>
      </c>
      <c r="C4" s="6" t="s">
        <v>1752</v>
      </c>
      <c r="D4" s="41">
        <v>46292.0</v>
      </c>
      <c r="E4" s="8" t="s">
        <v>1753</v>
      </c>
      <c r="F4" s="8">
        <v>9.121757505E9</v>
      </c>
      <c r="G4" s="8" t="s">
        <v>1757</v>
      </c>
      <c r="H4" s="8" t="s">
        <v>1759</v>
      </c>
      <c r="I4" s="8" t="s">
        <v>1664</v>
      </c>
      <c r="K4" s="8" t="s">
        <v>1736</v>
      </c>
      <c r="L4" s="8" t="s">
        <v>1763</v>
      </c>
      <c r="M4" s="8" t="s">
        <v>1763</v>
      </c>
      <c r="N4" s="8">
        <v>0.0</v>
      </c>
      <c r="O4" s="8">
        <v>347.5</v>
      </c>
      <c r="P4" s="8">
        <v>347.5</v>
      </c>
      <c r="R4" s="8" t="s">
        <v>1766</v>
      </c>
      <c r="S4" s="42" t="s">
        <v>1767</v>
      </c>
      <c r="T4" s="42" t="s">
        <v>1770</v>
      </c>
    </row>
    <row r="5" ht="22.5" customHeight="1">
      <c r="A5" s="8" t="s">
        <v>1773</v>
      </c>
      <c r="B5" s="41">
        <v>46298.492997685185</v>
      </c>
      <c r="C5" s="8" t="s">
        <v>1774</v>
      </c>
      <c r="D5" s="41">
        <v>46298.666666666664</v>
      </c>
      <c r="E5" s="8" t="s">
        <v>1775</v>
      </c>
      <c r="F5" s="8">
        <v>9.573291136E9</v>
      </c>
      <c r="G5" s="8" t="s">
        <v>1776</v>
      </c>
      <c r="H5" s="8" t="s">
        <v>1777</v>
      </c>
      <c r="I5" s="8" t="s">
        <v>1664</v>
      </c>
      <c r="K5" s="8" t="s">
        <v>1736</v>
      </c>
      <c r="L5" s="8" t="s">
        <v>674</v>
      </c>
      <c r="M5" s="8" t="s">
        <v>1667</v>
      </c>
      <c r="N5" s="8">
        <v>0.0</v>
      </c>
      <c r="O5" s="8">
        <v>211.0</v>
      </c>
      <c r="P5" s="8">
        <v>211.0</v>
      </c>
      <c r="Q5" s="8" t="s">
        <v>1773</v>
      </c>
      <c r="R5" s="8" t="s">
        <v>1781</v>
      </c>
      <c r="S5" s="42" t="s">
        <v>1783</v>
      </c>
      <c r="T5" s="42" t="s">
        <v>1788</v>
      </c>
      <c r="U5" s="43">
        <v>22.25</v>
      </c>
      <c r="V5" s="8" t="s">
        <v>1748</v>
      </c>
    </row>
    <row r="6" ht="22.5" customHeight="1"/>
    <row r="7" ht="22.5" customHeight="1"/>
    <row r="8" ht="22.5" customHeight="1"/>
    <row r="9" ht="22.5" customHeight="1"/>
    <row r="10" ht="22.5" customHeight="1">
      <c r="E10" s="44"/>
    </row>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sheetData>
  <hyperlinks>
    <hyperlink r:id="rId1" ref="S2"/>
    <hyperlink r:id="rId2" ref="T2"/>
    <hyperlink r:id="rId3" ref="S3"/>
    <hyperlink r:id="rId4" ref="T3"/>
    <hyperlink r:id="rId5" ref="S4"/>
    <hyperlink r:id="rId6" ref="T4"/>
    <hyperlink r:id="rId7" ref="S5"/>
    <hyperlink r:id="rId8" ref="T5"/>
  </hyperlinks>
  <drawing r:id="rId9"/>
  <tableParts count="1">
    <tablePart r:id="rId1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4.0"/>
    <col customWidth="1" min="2" max="2" width="31.71"/>
    <col customWidth="1" min="3" max="3" width="49.43"/>
    <col customWidth="1" min="4" max="4" width="42.0"/>
    <col customWidth="1" min="5" max="5" width="25.57"/>
    <col customWidth="1" min="6" max="6" width="16.0"/>
    <col customWidth="1" min="11" max="11" width="17.71"/>
    <col customWidth="1" min="12" max="12" width="16.43"/>
    <col customWidth="1" min="13" max="14" width="39.29"/>
  </cols>
  <sheetData>
    <row r="1" ht="22.5" customHeight="1">
      <c r="A1" s="6" t="s">
        <v>1912</v>
      </c>
      <c r="B1" s="6" t="s">
        <v>1588</v>
      </c>
      <c r="C1" s="6" t="s">
        <v>1914</v>
      </c>
      <c r="D1" s="6" t="s">
        <v>1274</v>
      </c>
      <c r="E1" s="6" t="s">
        <v>1917</v>
      </c>
      <c r="F1" s="6" t="s">
        <v>1</v>
      </c>
      <c r="G1" s="6" t="s">
        <v>2</v>
      </c>
      <c r="H1" s="6" t="s">
        <v>555</v>
      </c>
      <c r="I1" s="6" t="s">
        <v>345</v>
      </c>
      <c r="J1" s="6" t="s">
        <v>1920</v>
      </c>
      <c r="K1" s="6" t="s">
        <v>1921</v>
      </c>
      <c r="L1" s="6" t="s">
        <v>4</v>
      </c>
      <c r="M1" s="6" t="s">
        <v>5</v>
      </c>
      <c r="N1" s="6" t="s">
        <v>1922</v>
      </c>
    </row>
    <row r="2" ht="22.5" customHeight="1">
      <c r="A2" s="6" t="s">
        <v>1923</v>
      </c>
      <c r="B2" s="6" t="s">
        <v>1649</v>
      </c>
      <c r="C2" s="6" t="s">
        <v>1924</v>
      </c>
      <c r="D2" s="6" t="s">
        <v>1925</v>
      </c>
      <c r="E2" s="45"/>
      <c r="F2" s="6" t="s">
        <v>722</v>
      </c>
      <c r="G2" s="6" t="s">
        <v>712</v>
      </c>
      <c r="H2" s="6">
        <v>0.5</v>
      </c>
      <c r="I2" s="6" t="s">
        <v>713</v>
      </c>
      <c r="J2" s="6">
        <v>99.0</v>
      </c>
      <c r="K2" s="6">
        <v>50.0</v>
      </c>
      <c r="L2" s="6" t="s">
        <v>1665</v>
      </c>
      <c r="M2" s="45"/>
      <c r="N2" s="45"/>
    </row>
    <row r="3" ht="22.5" customHeight="1">
      <c r="A3" s="6" t="s">
        <v>1930</v>
      </c>
      <c r="B3" s="6" t="s">
        <v>1649</v>
      </c>
      <c r="C3" s="6" t="s">
        <v>1931</v>
      </c>
      <c r="D3" s="6" t="s">
        <v>1932</v>
      </c>
      <c r="E3" s="45"/>
      <c r="F3" s="6" t="s">
        <v>463</v>
      </c>
      <c r="G3" s="6" t="s">
        <v>817</v>
      </c>
      <c r="H3" s="6">
        <v>2.0</v>
      </c>
      <c r="I3" s="6" t="s">
        <v>185</v>
      </c>
      <c r="J3" s="6">
        <v>20.0</v>
      </c>
      <c r="K3" s="6">
        <v>40.0</v>
      </c>
      <c r="L3" s="6" t="s">
        <v>1665</v>
      </c>
      <c r="M3" s="45"/>
      <c r="N3" s="45"/>
    </row>
    <row r="4" ht="22.5" customHeight="1">
      <c r="A4" s="6" t="s">
        <v>1940</v>
      </c>
      <c r="B4" s="6" t="s">
        <v>1649</v>
      </c>
      <c r="C4" s="6" t="s">
        <v>1942</v>
      </c>
      <c r="D4" s="6" t="s">
        <v>1943</v>
      </c>
      <c r="E4" s="45"/>
      <c r="F4" s="6" t="s">
        <v>230</v>
      </c>
      <c r="G4" s="6" t="s">
        <v>13</v>
      </c>
      <c r="H4" s="6">
        <v>0.25</v>
      </c>
      <c r="I4" s="6" t="s">
        <v>359</v>
      </c>
      <c r="J4" s="6">
        <v>69.0</v>
      </c>
      <c r="K4" s="6">
        <v>17.0</v>
      </c>
      <c r="L4" s="6" t="s">
        <v>1665</v>
      </c>
      <c r="M4" s="45"/>
      <c r="N4" s="45"/>
    </row>
    <row r="5" ht="22.5" customHeight="1">
      <c r="A5" s="6" t="s">
        <v>1949</v>
      </c>
      <c r="B5" s="6" t="s">
        <v>1649</v>
      </c>
      <c r="C5" s="6" t="s">
        <v>1950</v>
      </c>
      <c r="D5" s="6" t="s">
        <v>1951</v>
      </c>
      <c r="E5" s="45"/>
      <c r="F5" s="6" t="s">
        <v>289</v>
      </c>
      <c r="G5" s="6" t="s">
        <v>13</v>
      </c>
      <c r="H5" s="6">
        <v>0.25</v>
      </c>
      <c r="I5" s="6" t="s">
        <v>359</v>
      </c>
      <c r="J5" s="6">
        <v>147.0</v>
      </c>
      <c r="K5" s="6">
        <v>37.0</v>
      </c>
      <c r="L5" s="6" t="s">
        <v>1665</v>
      </c>
      <c r="M5" s="45"/>
      <c r="N5" s="45"/>
    </row>
    <row r="6" ht="22.5" customHeight="1">
      <c r="A6" s="6" t="s">
        <v>1956</v>
      </c>
      <c r="B6" s="6" t="s">
        <v>1649</v>
      </c>
      <c r="C6" s="6" t="s">
        <v>1958</v>
      </c>
      <c r="D6" s="6" t="s">
        <v>1925</v>
      </c>
      <c r="E6" s="45"/>
      <c r="F6" s="6" t="s">
        <v>1961</v>
      </c>
      <c r="G6" s="6" t="s">
        <v>712</v>
      </c>
      <c r="H6" s="6">
        <v>1.0</v>
      </c>
      <c r="I6" s="6" t="s">
        <v>713</v>
      </c>
      <c r="J6" s="6">
        <v>99.0</v>
      </c>
      <c r="K6" s="6">
        <v>99.0</v>
      </c>
      <c r="L6" s="6" t="s">
        <v>1665</v>
      </c>
      <c r="M6" s="45"/>
      <c r="N6" s="45"/>
    </row>
    <row r="7" ht="22.5" customHeight="1">
      <c r="A7" s="6" t="s">
        <v>1964</v>
      </c>
      <c r="B7" s="6" t="s">
        <v>1725</v>
      </c>
      <c r="C7" s="6" t="s">
        <v>1966</v>
      </c>
      <c r="D7" s="6" t="s">
        <v>1967</v>
      </c>
      <c r="E7" s="45"/>
      <c r="F7" s="6" t="s">
        <v>208</v>
      </c>
      <c r="G7" s="6" t="s">
        <v>13</v>
      </c>
      <c r="H7" s="6">
        <v>0.25</v>
      </c>
      <c r="I7" s="6" t="s">
        <v>359</v>
      </c>
      <c r="J7" s="6">
        <v>44.0</v>
      </c>
      <c r="K7" s="6">
        <v>11.0</v>
      </c>
      <c r="L7" s="6" t="s">
        <v>1665</v>
      </c>
      <c r="M7" s="45"/>
      <c r="N7" s="45"/>
    </row>
    <row r="8" ht="22.5" customHeight="1">
      <c r="A8" s="6" t="s">
        <v>1968</v>
      </c>
      <c r="B8" s="6" t="s">
        <v>1725</v>
      </c>
      <c r="C8" s="6" t="s">
        <v>1969</v>
      </c>
      <c r="D8" s="6" t="s">
        <v>1867</v>
      </c>
      <c r="E8" s="45"/>
      <c r="F8" s="6" t="s">
        <v>642</v>
      </c>
      <c r="G8" s="6" t="s">
        <v>13</v>
      </c>
      <c r="H8" s="6">
        <v>0.5</v>
      </c>
      <c r="I8" s="6" t="s">
        <v>359</v>
      </c>
      <c r="J8" s="6">
        <v>49.0</v>
      </c>
      <c r="K8" s="6">
        <v>24.5</v>
      </c>
      <c r="L8" s="6" t="s">
        <v>1665</v>
      </c>
      <c r="M8" s="45"/>
      <c r="N8" s="45"/>
    </row>
    <row r="9" ht="22.5" customHeight="1">
      <c r="A9" s="6" t="s">
        <v>1977</v>
      </c>
      <c r="B9" s="6" t="s">
        <v>1725</v>
      </c>
      <c r="C9" s="6" t="s">
        <v>1979</v>
      </c>
      <c r="D9" s="6" t="s">
        <v>1885</v>
      </c>
      <c r="E9" s="45"/>
      <c r="F9" s="6" t="s">
        <v>41</v>
      </c>
      <c r="G9" s="6" t="s">
        <v>13</v>
      </c>
      <c r="H9" s="6">
        <v>0.5</v>
      </c>
      <c r="I9" s="6" t="s">
        <v>359</v>
      </c>
      <c r="J9" s="6">
        <v>79.0</v>
      </c>
      <c r="K9" s="6">
        <v>39.5</v>
      </c>
      <c r="L9" s="6" t="s">
        <v>1665</v>
      </c>
      <c r="M9" s="45"/>
      <c r="N9" s="45"/>
    </row>
    <row r="10" ht="22.5" customHeight="1">
      <c r="A10" s="6" t="s">
        <v>1990</v>
      </c>
      <c r="B10" s="6" t="s">
        <v>1725</v>
      </c>
      <c r="C10" s="6" t="s">
        <v>1993</v>
      </c>
      <c r="D10" s="6" t="s">
        <v>1800</v>
      </c>
      <c r="E10" s="45"/>
      <c r="F10" s="6" t="s">
        <v>213</v>
      </c>
      <c r="G10" s="6" t="s">
        <v>13</v>
      </c>
      <c r="H10" s="6">
        <v>0.25</v>
      </c>
      <c r="I10" s="6" t="s">
        <v>359</v>
      </c>
      <c r="J10" s="6">
        <v>44.0</v>
      </c>
      <c r="K10" s="6">
        <v>11.0</v>
      </c>
      <c r="L10" s="6" t="s">
        <v>1665</v>
      </c>
      <c r="M10" s="45"/>
      <c r="N10" s="45"/>
    </row>
    <row r="11" ht="22.5" customHeight="1">
      <c r="A11" s="6" t="s">
        <v>2001</v>
      </c>
      <c r="B11" s="6" t="s">
        <v>1725</v>
      </c>
      <c r="C11" s="6" t="s">
        <v>2007</v>
      </c>
      <c r="D11" s="6" t="s">
        <v>1765</v>
      </c>
      <c r="E11" s="45"/>
      <c r="F11" s="6" t="s">
        <v>28</v>
      </c>
      <c r="G11" s="6" t="s">
        <v>13</v>
      </c>
      <c r="H11" s="6">
        <v>0.5</v>
      </c>
      <c r="I11" s="6" t="s">
        <v>359</v>
      </c>
      <c r="J11" s="6">
        <v>43.0</v>
      </c>
      <c r="K11" s="6">
        <v>21.5</v>
      </c>
      <c r="L11" s="6" t="s">
        <v>1665</v>
      </c>
      <c r="M11" s="45"/>
      <c r="N11" s="45"/>
    </row>
    <row r="12" ht="22.5" customHeight="1">
      <c r="A12" s="6" t="s">
        <v>2015</v>
      </c>
      <c r="B12" s="6" t="s">
        <v>1725</v>
      </c>
      <c r="C12" s="6" t="s">
        <v>2010</v>
      </c>
      <c r="D12" s="6" t="s">
        <v>1722</v>
      </c>
      <c r="E12" s="45"/>
      <c r="F12" s="6" t="s">
        <v>59</v>
      </c>
      <c r="G12" s="6" t="s">
        <v>13</v>
      </c>
      <c r="H12" s="6">
        <v>0.25</v>
      </c>
      <c r="I12" s="6" t="s">
        <v>359</v>
      </c>
      <c r="J12" s="6">
        <v>62.0</v>
      </c>
      <c r="K12" s="6">
        <v>15.5</v>
      </c>
      <c r="L12" s="6" t="s">
        <v>1665</v>
      </c>
      <c r="M12" s="45"/>
      <c r="N12" s="45"/>
    </row>
    <row r="13" ht="22.5" customHeight="1">
      <c r="A13" s="6" t="s">
        <v>2027</v>
      </c>
      <c r="B13" s="6" t="s">
        <v>1725</v>
      </c>
      <c r="C13" s="6" t="s">
        <v>2009</v>
      </c>
      <c r="D13" s="6" t="s">
        <v>1643</v>
      </c>
      <c r="E13" s="45"/>
      <c r="F13" s="6" t="s">
        <v>12</v>
      </c>
      <c r="G13" s="6" t="s">
        <v>13</v>
      </c>
      <c r="H13" s="6">
        <v>0.75</v>
      </c>
      <c r="I13" s="6" t="s">
        <v>359</v>
      </c>
      <c r="J13" s="6">
        <v>36.0</v>
      </c>
      <c r="K13" s="6">
        <v>27.0</v>
      </c>
      <c r="L13" s="6" t="s">
        <v>1665</v>
      </c>
      <c r="M13" s="45"/>
      <c r="N13" s="45"/>
    </row>
    <row r="14" ht="22.5" customHeight="1">
      <c r="A14" s="6" t="s">
        <v>2039</v>
      </c>
      <c r="B14" s="6" t="s">
        <v>1725</v>
      </c>
      <c r="C14" s="6" t="s">
        <v>2016</v>
      </c>
      <c r="D14" s="6" t="s">
        <v>1911</v>
      </c>
      <c r="E14" s="45"/>
      <c r="F14" s="6" t="s">
        <v>483</v>
      </c>
      <c r="G14" s="6" t="s">
        <v>817</v>
      </c>
      <c r="H14" s="6">
        <v>1.0</v>
      </c>
      <c r="I14" s="6" t="s">
        <v>185</v>
      </c>
      <c r="J14" s="6">
        <v>18.0</v>
      </c>
      <c r="K14" s="6">
        <v>18.0</v>
      </c>
      <c r="L14" s="6" t="s">
        <v>1665</v>
      </c>
      <c r="M14" s="45"/>
      <c r="N14" s="45"/>
    </row>
    <row r="15" ht="22.5" customHeight="1">
      <c r="A15" s="6" t="s">
        <v>2050</v>
      </c>
      <c r="B15" s="6" t="s">
        <v>1725</v>
      </c>
      <c r="C15" s="6" t="s">
        <v>2017</v>
      </c>
      <c r="D15" s="6" t="s">
        <v>1365</v>
      </c>
      <c r="E15" s="45"/>
      <c r="F15" s="6" t="s">
        <v>50</v>
      </c>
      <c r="G15" s="6" t="s">
        <v>13</v>
      </c>
      <c r="H15" s="6">
        <v>0.25</v>
      </c>
      <c r="I15" s="6" t="s">
        <v>359</v>
      </c>
      <c r="J15" s="6">
        <v>46.0</v>
      </c>
      <c r="K15" s="6">
        <v>11.5</v>
      </c>
      <c r="L15" s="6" t="s">
        <v>1665</v>
      </c>
      <c r="M15" s="45"/>
      <c r="N15" s="45"/>
    </row>
    <row r="16" ht="22.5" customHeight="1">
      <c r="A16" s="6" t="s">
        <v>2054</v>
      </c>
      <c r="B16" s="6" t="s">
        <v>1725</v>
      </c>
      <c r="C16" s="6" t="s">
        <v>2018</v>
      </c>
      <c r="D16" s="6" t="s">
        <v>1951</v>
      </c>
      <c r="E16" s="45"/>
      <c r="F16" s="6" t="s">
        <v>289</v>
      </c>
      <c r="G16" s="6" t="s">
        <v>13</v>
      </c>
      <c r="H16" s="6">
        <v>0.25</v>
      </c>
      <c r="I16" s="6" t="s">
        <v>359</v>
      </c>
      <c r="J16" s="6">
        <v>147.0</v>
      </c>
      <c r="K16" s="6">
        <v>36.75</v>
      </c>
      <c r="L16" s="6" t="s">
        <v>1665</v>
      </c>
      <c r="M16" s="45"/>
      <c r="N16" s="45"/>
    </row>
    <row r="17" ht="22.5" customHeight="1">
      <c r="A17" s="45"/>
      <c r="B17" s="45"/>
      <c r="C17" s="45"/>
      <c r="D17" s="45"/>
      <c r="E17" s="45"/>
      <c r="F17" s="45"/>
      <c r="G17" s="45"/>
      <c r="H17" s="45"/>
      <c r="I17" s="45"/>
      <c r="J17" s="45"/>
      <c r="K17" s="45"/>
      <c r="L17" s="45"/>
      <c r="M17" s="45"/>
      <c r="N17" s="45"/>
    </row>
    <row r="18" ht="22.5" customHeight="1">
      <c r="A18" s="45"/>
      <c r="B18" s="45"/>
      <c r="C18" s="45"/>
      <c r="D18" s="45"/>
      <c r="E18" s="45"/>
      <c r="F18" s="45"/>
      <c r="G18" s="45"/>
      <c r="H18" s="45"/>
      <c r="I18" s="45"/>
      <c r="J18" s="45"/>
      <c r="K18" s="45"/>
      <c r="L18" s="45"/>
      <c r="M18" s="45"/>
      <c r="N18" s="45"/>
    </row>
    <row r="19" ht="22.5" customHeight="1">
      <c r="A19" s="45"/>
      <c r="B19" s="45"/>
      <c r="C19" s="45"/>
      <c r="D19" s="45"/>
      <c r="E19" s="45"/>
      <c r="F19" s="45"/>
      <c r="G19" s="45"/>
      <c r="H19" s="45"/>
      <c r="I19" s="45"/>
      <c r="J19" s="45"/>
      <c r="K19" s="45"/>
      <c r="L19" s="45"/>
      <c r="M19" s="45"/>
      <c r="N19" s="45"/>
    </row>
    <row r="20" ht="22.5" customHeight="1">
      <c r="A20" s="45"/>
      <c r="B20" s="45"/>
      <c r="C20" s="45"/>
      <c r="D20" s="45"/>
      <c r="E20" s="45"/>
      <c r="F20" s="45"/>
      <c r="G20" s="45"/>
      <c r="H20" s="45"/>
      <c r="I20" s="45"/>
      <c r="J20" s="45"/>
      <c r="K20" s="45"/>
      <c r="L20" s="45"/>
      <c r="M20" s="45"/>
      <c r="N20" s="45"/>
    </row>
    <row r="21" ht="22.5" customHeight="1">
      <c r="A21" s="45"/>
      <c r="B21" s="45"/>
      <c r="C21" s="45"/>
      <c r="D21" s="45"/>
      <c r="E21" s="45"/>
      <c r="F21" s="45"/>
      <c r="G21" s="45"/>
      <c r="H21" s="45"/>
      <c r="I21" s="45"/>
      <c r="J21" s="45"/>
      <c r="K21" s="45"/>
      <c r="L21" s="45"/>
      <c r="M21" s="45"/>
      <c r="N21" s="45"/>
    </row>
    <row r="22" ht="22.5" customHeight="1">
      <c r="A22" s="45"/>
      <c r="B22" s="45"/>
      <c r="C22" s="45"/>
      <c r="D22" s="45"/>
      <c r="E22" s="45"/>
      <c r="F22" s="45"/>
      <c r="G22" s="45"/>
      <c r="H22" s="45"/>
      <c r="I22" s="45"/>
      <c r="J22" s="45"/>
      <c r="K22" s="45"/>
      <c r="L22" s="45"/>
      <c r="M22" s="45"/>
      <c r="N22" s="45"/>
    </row>
    <row r="23" ht="22.5" customHeight="1">
      <c r="A23" s="45"/>
      <c r="B23" s="45"/>
      <c r="C23" s="45"/>
      <c r="D23" s="45"/>
      <c r="E23" s="45"/>
      <c r="F23" s="45"/>
      <c r="G23" s="45"/>
      <c r="H23" s="45"/>
      <c r="I23" s="45"/>
      <c r="J23" s="45"/>
      <c r="K23" s="45"/>
      <c r="L23" s="45"/>
      <c r="M23" s="45"/>
      <c r="N23" s="45"/>
    </row>
    <row r="24" ht="22.5" customHeight="1">
      <c r="A24" s="45"/>
      <c r="B24" s="45"/>
      <c r="C24" s="45"/>
      <c r="D24" s="45"/>
      <c r="E24" s="45"/>
      <c r="F24" s="45"/>
      <c r="G24" s="45"/>
      <c r="H24" s="45"/>
      <c r="I24" s="45"/>
      <c r="J24" s="45"/>
      <c r="K24" s="45"/>
      <c r="L24" s="45"/>
      <c r="M24" s="45"/>
      <c r="N24" s="45"/>
    </row>
    <row r="25" ht="22.5" customHeight="1">
      <c r="A25" s="45"/>
      <c r="B25" s="45"/>
      <c r="C25" s="45"/>
      <c r="D25" s="45"/>
      <c r="E25" s="45"/>
      <c r="F25" s="45"/>
      <c r="G25" s="45"/>
      <c r="H25" s="45"/>
      <c r="I25" s="45"/>
      <c r="J25" s="45"/>
      <c r="K25" s="45"/>
      <c r="L25" s="45"/>
      <c r="M25" s="45"/>
      <c r="N25" s="45"/>
    </row>
    <row r="26" ht="22.5" customHeight="1">
      <c r="A26" s="45"/>
      <c r="B26" s="45"/>
      <c r="C26" s="45"/>
      <c r="D26" s="45"/>
      <c r="E26" s="45"/>
      <c r="F26" s="45"/>
      <c r="G26" s="45"/>
      <c r="H26" s="45"/>
      <c r="I26" s="45"/>
      <c r="J26" s="45"/>
      <c r="K26" s="45"/>
      <c r="L26" s="45"/>
      <c r="M26" s="45"/>
      <c r="N26" s="45"/>
    </row>
    <row r="27" ht="22.5" customHeight="1">
      <c r="A27" s="45"/>
      <c r="B27" s="45"/>
      <c r="C27" s="45"/>
      <c r="D27" s="45"/>
      <c r="E27" s="45"/>
      <c r="F27" s="45"/>
      <c r="G27" s="45"/>
      <c r="H27" s="45"/>
      <c r="I27" s="45"/>
      <c r="J27" s="45"/>
      <c r="K27" s="45"/>
      <c r="L27" s="45"/>
      <c r="M27" s="45"/>
      <c r="N27" s="45"/>
    </row>
    <row r="28" ht="22.5" customHeight="1">
      <c r="A28" s="45"/>
      <c r="B28" s="45"/>
      <c r="C28" s="45"/>
      <c r="D28" s="45"/>
      <c r="E28" s="45"/>
      <c r="F28" s="45"/>
      <c r="G28" s="45"/>
      <c r="H28" s="45"/>
      <c r="I28" s="45"/>
      <c r="J28" s="45"/>
      <c r="K28" s="45"/>
      <c r="L28" s="45"/>
      <c r="M28" s="45"/>
      <c r="N28" s="45"/>
    </row>
    <row r="29" ht="22.5" customHeight="1">
      <c r="A29" s="45"/>
      <c r="B29" s="45"/>
      <c r="C29" s="45"/>
      <c r="D29" s="45"/>
      <c r="E29" s="45"/>
      <c r="F29" s="45"/>
      <c r="G29" s="45"/>
      <c r="H29" s="45"/>
      <c r="I29" s="45"/>
      <c r="J29" s="45"/>
      <c r="K29" s="45"/>
      <c r="L29" s="45"/>
      <c r="M29" s="45"/>
      <c r="N29" s="45"/>
    </row>
    <row r="30" ht="22.5" customHeight="1">
      <c r="A30" s="45"/>
      <c r="B30" s="45"/>
      <c r="C30" s="45"/>
      <c r="D30" s="45"/>
      <c r="E30" s="45"/>
      <c r="F30" s="45"/>
      <c r="G30" s="45"/>
      <c r="H30" s="45"/>
      <c r="I30" s="45"/>
      <c r="J30" s="45"/>
      <c r="K30" s="45"/>
      <c r="L30" s="45"/>
      <c r="M30" s="45"/>
      <c r="N30" s="45"/>
    </row>
    <row r="31" ht="22.5" customHeight="1">
      <c r="A31" s="45"/>
      <c r="B31" s="45"/>
      <c r="C31" s="45"/>
      <c r="D31" s="45"/>
      <c r="E31" s="45"/>
      <c r="F31" s="45"/>
      <c r="G31" s="45"/>
      <c r="H31" s="45"/>
      <c r="I31" s="45"/>
      <c r="J31" s="45"/>
      <c r="K31" s="45"/>
      <c r="L31" s="45"/>
      <c r="M31" s="45"/>
      <c r="N31" s="45"/>
    </row>
    <row r="32" ht="22.5" customHeight="1">
      <c r="A32" s="45"/>
      <c r="B32" s="45"/>
      <c r="C32" s="45"/>
      <c r="D32" s="45"/>
      <c r="E32" s="45"/>
      <c r="F32" s="45"/>
      <c r="G32" s="45"/>
      <c r="H32" s="45"/>
      <c r="I32" s="45"/>
      <c r="J32" s="45"/>
      <c r="K32" s="45"/>
      <c r="L32" s="45"/>
      <c r="M32" s="45"/>
      <c r="N32" s="45"/>
    </row>
    <row r="33" ht="22.5" customHeight="1">
      <c r="A33" s="45"/>
      <c r="B33" s="45"/>
      <c r="C33" s="45"/>
      <c r="D33" s="45"/>
      <c r="E33" s="45"/>
      <c r="F33" s="45"/>
      <c r="G33" s="45"/>
      <c r="H33" s="45"/>
      <c r="I33" s="45"/>
      <c r="J33" s="45"/>
      <c r="K33" s="45"/>
      <c r="L33" s="45"/>
      <c r="M33" s="45"/>
      <c r="N33" s="45"/>
    </row>
    <row r="34" ht="22.5" customHeight="1">
      <c r="A34" s="45"/>
      <c r="B34" s="45"/>
      <c r="C34" s="45"/>
      <c r="D34" s="45"/>
      <c r="E34" s="45"/>
      <c r="F34" s="45"/>
      <c r="G34" s="45"/>
      <c r="H34" s="45"/>
      <c r="I34" s="45"/>
      <c r="J34" s="45"/>
      <c r="K34" s="45"/>
      <c r="L34" s="45"/>
      <c r="M34" s="45"/>
      <c r="N34" s="45"/>
    </row>
    <row r="35" ht="22.5" customHeight="1">
      <c r="A35" s="45"/>
      <c r="B35" s="45"/>
      <c r="C35" s="45"/>
      <c r="D35" s="45"/>
      <c r="E35" s="45"/>
      <c r="F35" s="45"/>
      <c r="G35" s="45"/>
      <c r="H35" s="45"/>
      <c r="I35" s="45"/>
      <c r="J35" s="45"/>
      <c r="K35" s="45"/>
      <c r="L35" s="45"/>
      <c r="M35" s="45"/>
      <c r="N35" s="45"/>
    </row>
    <row r="36" ht="22.5" customHeight="1">
      <c r="A36" s="45"/>
      <c r="B36" s="45"/>
      <c r="C36" s="45"/>
      <c r="D36" s="45"/>
      <c r="E36" s="45"/>
      <c r="F36" s="45"/>
      <c r="G36" s="45"/>
      <c r="H36" s="45"/>
      <c r="I36" s="45"/>
      <c r="J36" s="45"/>
      <c r="K36" s="45"/>
      <c r="L36" s="45"/>
      <c r="M36" s="45"/>
      <c r="N36" s="45"/>
    </row>
    <row r="37" ht="22.5" customHeight="1">
      <c r="A37" s="45"/>
      <c r="B37" s="45"/>
      <c r="C37" s="45"/>
      <c r="D37" s="45"/>
      <c r="E37" s="45"/>
      <c r="F37" s="45"/>
      <c r="G37" s="45"/>
      <c r="H37" s="45"/>
      <c r="I37" s="45"/>
      <c r="J37" s="45"/>
      <c r="K37" s="45"/>
      <c r="L37" s="45"/>
      <c r="M37" s="45"/>
      <c r="N37" s="45"/>
    </row>
    <row r="38" ht="22.5" customHeight="1">
      <c r="A38" s="45"/>
      <c r="B38" s="45"/>
      <c r="C38" s="45"/>
      <c r="D38" s="45"/>
      <c r="E38" s="45"/>
      <c r="F38" s="45"/>
      <c r="G38" s="45"/>
      <c r="H38" s="45"/>
      <c r="I38" s="45"/>
      <c r="J38" s="45"/>
      <c r="K38" s="45"/>
      <c r="L38" s="45"/>
      <c r="M38" s="45"/>
      <c r="N38" s="45"/>
    </row>
    <row r="39" ht="22.5" customHeight="1">
      <c r="A39" s="45"/>
      <c r="B39" s="45"/>
      <c r="C39" s="45"/>
      <c r="D39" s="45"/>
      <c r="E39" s="45"/>
      <c r="F39" s="45"/>
      <c r="G39" s="45"/>
      <c r="H39" s="45"/>
      <c r="I39" s="45"/>
      <c r="J39" s="45"/>
      <c r="K39" s="45"/>
      <c r="L39" s="45"/>
      <c r="M39" s="45"/>
      <c r="N39" s="45"/>
    </row>
    <row r="40" ht="22.5" customHeight="1">
      <c r="A40" s="45"/>
      <c r="B40" s="45"/>
      <c r="C40" s="45"/>
      <c r="D40" s="45"/>
      <c r="E40" s="45"/>
      <c r="F40" s="45"/>
      <c r="G40" s="45"/>
      <c r="H40" s="45"/>
      <c r="I40" s="45"/>
      <c r="J40" s="45"/>
      <c r="K40" s="45"/>
      <c r="L40" s="45"/>
      <c r="M40" s="45"/>
      <c r="N40" s="45"/>
    </row>
    <row r="41" ht="22.5" customHeight="1">
      <c r="A41" s="45"/>
      <c r="B41" s="45"/>
      <c r="C41" s="45"/>
      <c r="D41" s="45"/>
      <c r="E41" s="45"/>
      <c r="F41" s="45"/>
      <c r="G41" s="45"/>
      <c r="H41" s="45"/>
      <c r="I41" s="45"/>
      <c r="J41" s="45"/>
      <c r="K41" s="45"/>
      <c r="L41" s="45"/>
      <c r="M41" s="45"/>
      <c r="N41" s="45"/>
    </row>
    <row r="42" ht="22.5" customHeight="1">
      <c r="A42" s="45"/>
      <c r="B42" s="45"/>
      <c r="C42" s="45"/>
      <c r="D42" s="45"/>
      <c r="E42" s="45"/>
      <c r="F42" s="45"/>
      <c r="G42" s="45"/>
      <c r="H42" s="45"/>
      <c r="I42" s="45"/>
      <c r="J42" s="45"/>
      <c r="K42" s="45"/>
      <c r="L42" s="45"/>
      <c r="M42" s="45"/>
      <c r="N42" s="45"/>
    </row>
    <row r="43" ht="22.5" customHeight="1">
      <c r="A43" s="45"/>
      <c r="B43" s="45"/>
      <c r="C43" s="45"/>
      <c r="D43" s="45"/>
      <c r="E43" s="45"/>
      <c r="F43" s="45"/>
      <c r="G43" s="45"/>
      <c r="H43" s="45"/>
      <c r="I43" s="45"/>
      <c r="J43" s="45"/>
      <c r="K43" s="45"/>
      <c r="L43" s="45"/>
      <c r="M43" s="45"/>
      <c r="N43" s="45"/>
    </row>
    <row r="44" ht="22.5" customHeight="1">
      <c r="A44" s="45"/>
      <c r="B44" s="45"/>
      <c r="C44" s="45"/>
      <c r="D44" s="45"/>
      <c r="E44" s="45"/>
      <c r="F44" s="45"/>
      <c r="G44" s="45"/>
      <c r="H44" s="45"/>
      <c r="I44" s="45"/>
      <c r="J44" s="45"/>
      <c r="K44" s="45"/>
      <c r="L44" s="45"/>
      <c r="M44" s="45"/>
      <c r="N44" s="45"/>
    </row>
    <row r="45" ht="22.5" customHeight="1">
      <c r="A45" s="45"/>
      <c r="B45" s="45"/>
      <c r="C45" s="45"/>
      <c r="D45" s="45"/>
      <c r="E45" s="45"/>
      <c r="F45" s="45"/>
      <c r="G45" s="45"/>
      <c r="H45" s="45"/>
      <c r="I45" s="45"/>
      <c r="J45" s="45"/>
      <c r="K45" s="45"/>
      <c r="L45" s="45"/>
      <c r="M45" s="45"/>
      <c r="N45" s="45"/>
    </row>
    <row r="46" ht="22.5" customHeight="1">
      <c r="A46" s="45"/>
      <c r="B46" s="45"/>
      <c r="C46" s="45"/>
      <c r="D46" s="45"/>
      <c r="E46" s="45"/>
      <c r="F46" s="45"/>
      <c r="G46" s="45"/>
      <c r="H46" s="45"/>
      <c r="I46" s="45"/>
      <c r="J46" s="45"/>
      <c r="K46" s="45"/>
      <c r="L46" s="45"/>
      <c r="M46" s="45"/>
      <c r="N46" s="45"/>
    </row>
    <row r="47" ht="22.5" customHeight="1">
      <c r="A47" s="45"/>
      <c r="B47" s="45"/>
      <c r="C47" s="45"/>
      <c r="D47" s="45"/>
      <c r="E47" s="45"/>
      <c r="F47" s="45"/>
      <c r="G47" s="45"/>
      <c r="H47" s="45"/>
      <c r="I47" s="45"/>
      <c r="J47" s="45"/>
      <c r="K47" s="45"/>
      <c r="L47" s="45"/>
      <c r="M47" s="45"/>
      <c r="N47" s="45"/>
    </row>
    <row r="48" ht="22.5" customHeight="1">
      <c r="A48" s="45"/>
      <c r="B48" s="45"/>
      <c r="C48" s="45"/>
      <c r="D48" s="45"/>
      <c r="E48" s="45"/>
      <c r="F48" s="45"/>
      <c r="G48" s="45"/>
      <c r="H48" s="45"/>
      <c r="I48" s="45"/>
      <c r="J48" s="45"/>
      <c r="K48" s="45"/>
      <c r="L48" s="45"/>
      <c r="M48" s="45"/>
      <c r="N48" s="45"/>
    </row>
    <row r="49" ht="22.5" customHeight="1">
      <c r="A49" s="45"/>
      <c r="B49" s="45"/>
      <c r="C49" s="45"/>
      <c r="D49" s="45"/>
      <c r="E49" s="45"/>
      <c r="F49" s="45"/>
      <c r="G49" s="45"/>
      <c r="H49" s="45"/>
      <c r="I49" s="45"/>
      <c r="J49" s="45"/>
      <c r="K49" s="45"/>
      <c r="L49" s="45"/>
      <c r="M49" s="45"/>
      <c r="N49" s="45"/>
    </row>
    <row r="50" ht="22.5" customHeight="1">
      <c r="A50" s="45"/>
      <c r="B50" s="45"/>
      <c r="C50" s="45"/>
      <c r="D50" s="45"/>
      <c r="E50" s="45"/>
      <c r="F50" s="45"/>
      <c r="G50" s="45"/>
      <c r="H50" s="45"/>
      <c r="I50" s="45"/>
      <c r="J50" s="45"/>
      <c r="K50" s="45"/>
      <c r="L50" s="45"/>
      <c r="M50" s="45"/>
      <c r="N50" s="45"/>
    </row>
    <row r="51" ht="22.5" customHeight="1">
      <c r="A51" s="45"/>
      <c r="B51" s="45"/>
      <c r="C51" s="45"/>
      <c r="D51" s="45"/>
      <c r="E51" s="45"/>
      <c r="F51" s="45"/>
      <c r="G51" s="45"/>
      <c r="H51" s="45"/>
      <c r="I51" s="45"/>
      <c r="J51" s="45"/>
      <c r="K51" s="45"/>
      <c r="L51" s="45"/>
      <c r="M51" s="45"/>
      <c r="N51" s="45"/>
    </row>
    <row r="52" ht="22.5" customHeight="1">
      <c r="A52" s="45"/>
      <c r="B52" s="45"/>
      <c r="C52" s="45"/>
      <c r="D52" s="45"/>
      <c r="E52" s="45"/>
      <c r="F52" s="45"/>
      <c r="G52" s="45"/>
      <c r="H52" s="45"/>
      <c r="I52" s="45"/>
      <c r="J52" s="45"/>
      <c r="K52" s="45"/>
      <c r="L52" s="45"/>
      <c r="M52" s="45"/>
      <c r="N52" s="45"/>
    </row>
    <row r="53" ht="22.5" customHeight="1">
      <c r="A53" s="45"/>
      <c r="B53" s="45"/>
      <c r="C53" s="45"/>
      <c r="D53" s="45"/>
      <c r="E53" s="45"/>
      <c r="F53" s="45"/>
      <c r="G53" s="45"/>
      <c r="H53" s="45"/>
      <c r="I53" s="45"/>
      <c r="J53" s="45"/>
      <c r="K53" s="45"/>
      <c r="L53" s="45"/>
      <c r="M53" s="45"/>
      <c r="N53" s="45"/>
    </row>
    <row r="54" ht="22.5" customHeight="1">
      <c r="A54" s="45"/>
      <c r="B54" s="45"/>
      <c r="C54" s="45"/>
      <c r="D54" s="45"/>
      <c r="E54" s="45"/>
      <c r="F54" s="45"/>
      <c r="G54" s="45"/>
      <c r="H54" s="45"/>
      <c r="I54" s="45"/>
      <c r="J54" s="45"/>
      <c r="K54" s="45"/>
      <c r="L54" s="45"/>
      <c r="M54" s="45"/>
      <c r="N54" s="45"/>
    </row>
    <row r="55" ht="22.5" customHeight="1">
      <c r="A55" s="45"/>
      <c r="B55" s="45"/>
      <c r="C55" s="45"/>
      <c r="D55" s="45"/>
      <c r="E55" s="45"/>
      <c r="F55" s="45"/>
      <c r="G55" s="45"/>
      <c r="H55" s="45"/>
      <c r="I55" s="45"/>
      <c r="J55" s="45"/>
      <c r="K55" s="45"/>
      <c r="L55" s="45"/>
      <c r="M55" s="45"/>
      <c r="N55" s="45"/>
    </row>
    <row r="56" ht="22.5" customHeight="1">
      <c r="A56" s="45"/>
      <c r="B56" s="45"/>
      <c r="C56" s="45"/>
      <c r="D56" s="45"/>
      <c r="E56" s="45"/>
      <c r="F56" s="45"/>
      <c r="G56" s="45"/>
      <c r="H56" s="45"/>
      <c r="I56" s="45"/>
      <c r="J56" s="45"/>
      <c r="K56" s="45"/>
      <c r="L56" s="45"/>
      <c r="M56" s="45"/>
      <c r="N56" s="45"/>
    </row>
    <row r="57" ht="22.5" customHeight="1">
      <c r="A57" s="45"/>
      <c r="B57" s="45"/>
      <c r="C57" s="45"/>
      <c r="D57" s="45"/>
      <c r="E57" s="45"/>
      <c r="F57" s="45"/>
      <c r="G57" s="45"/>
      <c r="H57" s="45"/>
      <c r="I57" s="45"/>
      <c r="J57" s="45"/>
      <c r="K57" s="45"/>
      <c r="L57" s="45"/>
      <c r="M57" s="45"/>
      <c r="N57" s="45"/>
    </row>
    <row r="58" ht="22.5" customHeight="1">
      <c r="A58" s="45"/>
      <c r="B58" s="45"/>
      <c r="C58" s="45"/>
      <c r="D58" s="45"/>
      <c r="E58" s="45"/>
      <c r="F58" s="45"/>
      <c r="G58" s="45"/>
      <c r="H58" s="45"/>
      <c r="I58" s="45"/>
      <c r="J58" s="45"/>
      <c r="K58" s="45"/>
      <c r="L58" s="45"/>
      <c r="M58" s="45"/>
      <c r="N58" s="45"/>
    </row>
    <row r="59" ht="22.5" customHeight="1">
      <c r="A59" s="45"/>
      <c r="B59" s="45"/>
      <c r="C59" s="45"/>
      <c r="D59" s="45"/>
      <c r="E59" s="45"/>
      <c r="F59" s="45"/>
      <c r="G59" s="45"/>
      <c r="H59" s="45"/>
      <c r="I59" s="45"/>
      <c r="J59" s="45"/>
      <c r="K59" s="45"/>
      <c r="L59" s="45"/>
      <c r="M59" s="45"/>
      <c r="N59" s="45"/>
    </row>
    <row r="60" ht="22.5" customHeight="1">
      <c r="A60" s="45"/>
      <c r="B60" s="45"/>
      <c r="C60" s="45"/>
      <c r="D60" s="45"/>
      <c r="E60" s="45"/>
      <c r="F60" s="45"/>
      <c r="G60" s="45"/>
      <c r="H60" s="45"/>
      <c r="I60" s="45"/>
      <c r="J60" s="45"/>
      <c r="K60" s="45"/>
      <c r="L60" s="45"/>
      <c r="M60" s="45"/>
      <c r="N60" s="45"/>
    </row>
    <row r="61" ht="22.5" customHeight="1">
      <c r="A61" s="45"/>
      <c r="B61" s="45"/>
      <c r="C61" s="45"/>
      <c r="D61" s="45"/>
      <c r="E61" s="45"/>
      <c r="F61" s="45"/>
      <c r="G61" s="45"/>
      <c r="H61" s="45"/>
      <c r="I61" s="45"/>
      <c r="J61" s="45"/>
      <c r="K61" s="45"/>
      <c r="L61" s="45"/>
      <c r="M61" s="45"/>
      <c r="N61" s="45"/>
    </row>
    <row r="62" ht="22.5" customHeight="1">
      <c r="A62" s="45"/>
      <c r="B62" s="45"/>
      <c r="C62" s="45"/>
      <c r="D62" s="45"/>
      <c r="E62" s="45"/>
      <c r="F62" s="45"/>
      <c r="G62" s="45"/>
      <c r="H62" s="45"/>
      <c r="I62" s="45"/>
      <c r="J62" s="45"/>
      <c r="K62" s="45"/>
      <c r="L62" s="45"/>
      <c r="M62" s="45"/>
      <c r="N62" s="45"/>
    </row>
    <row r="63" ht="22.5" customHeight="1">
      <c r="A63" s="45"/>
      <c r="B63" s="45"/>
      <c r="C63" s="45"/>
      <c r="D63" s="45"/>
      <c r="E63" s="45"/>
      <c r="F63" s="45"/>
      <c r="G63" s="45"/>
      <c r="H63" s="45"/>
      <c r="I63" s="45"/>
      <c r="J63" s="45"/>
      <c r="K63" s="45"/>
      <c r="L63" s="45"/>
      <c r="M63" s="45"/>
      <c r="N63" s="45"/>
    </row>
    <row r="64" ht="22.5" customHeight="1">
      <c r="A64" s="45"/>
      <c r="B64" s="45"/>
      <c r="C64" s="45"/>
      <c r="D64" s="45"/>
      <c r="E64" s="45"/>
      <c r="F64" s="45"/>
      <c r="G64" s="45"/>
      <c r="H64" s="45"/>
      <c r="I64" s="45"/>
      <c r="J64" s="45"/>
      <c r="K64" s="45"/>
      <c r="L64" s="45"/>
      <c r="M64" s="45"/>
      <c r="N64" s="45"/>
    </row>
    <row r="65" ht="22.5" customHeight="1">
      <c r="A65" s="45"/>
      <c r="B65" s="45"/>
      <c r="C65" s="45"/>
      <c r="D65" s="45"/>
      <c r="E65" s="45"/>
      <c r="F65" s="45"/>
      <c r="G65" s="45"/>
      <c r="H65" s="45"/>
      <c r="I65" s="45"/>
      <c r="J65" s="45"/>
      <c r="K65" s="45"/>
      <c r="L65" s="45"/>
      <c r="M65" s="45"/>
      <c r="N65" s="45"/>
    </row>
    <row r="66" ht="22.5" customHeight="1">
      <c r="A66" s="45"/>
      <c r="B66" s="45"/>
      <c r="C66" s="45"/>
      <c r="D66" s="45"/>
      <c r="E66" s="45"/>
      <c r="F66" s="45"/>
      <c r="G66" s="45"/>
      <c r="H66" s="45"/>
      <c r="I66" s="45"/>
      <c r="J66" s="45"/>
      <c r="K66" s="45"/>
      <c r="L66" s="45"/>
      <c r="M66" s="45"/>
      <c r="N66" s="45"/>
    </row>
    <row r="67" ht="22.5" customHeight="1">
      <c r="A67" s="45"/>
      <c r="B67" s="45"/>
      <c r="C67" s="45"/>
      <c r="D67" s="45"/>
      <c r="E67" s="45"/>
      <c r="F67" s="45"/>
      <c r="G67" s="45"/>
      <c r="H67" s="45"/>
      <c r="I67" s="45"/>
      <c r="J67" s="45"/>
      <c r="K67" s="45"/>
      <c r="L67" s="45"/>
      <c r="M67" s="45"/>
      <c r="N67" s="45"/>
    </row>
    <row r="68" ht="22.5" customHeight="1">
      <c r="A68" s="45"/>
      <c r="B68" s="45"/>
      <c r="C68" s="45"/>
      <c r="D68" s="45"/>
      <c r="E68" s="45"/>
      <c r="F68" s="45"/>
      <c r="G68" s="45"/>
      <c r="H68" s="45"/>
      <c r="I68" s="45"/>
      <c r="J68" s="45"/>
      <c r="K68" s="45"/>
      <c r="L68" s="45"/>
      <c r="M68" s="45"/>
      <c r="N68" s="45"/>
    </row>
    <row r="69" ht="22.5" customHeight="1">
      <c r="A69" s="45"/>
      <c r="B69" s="45"/>
      <c r="C69" s="45"/>
      <c r="D69" s="45"/>
      <c r="E69" s="45"/>
      <c r="F69" s="45"/>
      <c r="G69" s="45"/>
      <c r="H69" s="45"/>
      <c r="I69" s="45"/>
      <c r="J69" s="45"/>
      <c r="K69" s="45"/>
      <c r="L69" s="45"/>
      <c r="M69" s="45"/>
      <c r="N69" s="45"/>
    </row>
    <row r="70" ht="22.5" customHeight="1">
      <c r="A70" s="45"/>
      <c r="B70" s="45"/>
      <c r="C70" s="45"/>
      <c r="D70" s="45"/>
      <c r="E70" s="45"/>
      <c r="F70" s="45"/>
      <c r="G70" s="45"/>
      <c r="H70" s="45"/>
      <c r="I70" s="45"/>
      <c r="J70" s="45"/>
      <c r="K70" s="45"/>
      <c r="L70" s="45"/>
      <c r="M70" s="45"/>
      <c r="N70" s="45"/>
    </row>
    <row r="71" ht="22.5" customHeight="1">
      <c r="A71" s="45"/>
      <c r="B71" s="45"/>
      <c r="C71" s="45"/>
      <c r="D71" s="45"/>
      <c r="E71" s="45"/>
      <c r="F71" s="45"/>
      <c r="G71" s="45"/>
      <c r="H71" s="45"/>
      <c r="I71" s="45"/>
      <c r="J71" s="45"/>
      <c r="K71" s="45"/>
      <c r="L71" s="45"/>
      <c r="M71" s="45"/>
      <c r="N71" s="45"/>
    </row>
    <row r="72" ht="22.5" customHeight="1">
      <c r="A72" s="45"/>
      <c r="B72" s="45"/>
      <c r="C72" s="45"/>
      <c r="D72" s="45"/>
      <c r="E72" s="45"/>
      <c r="F72" s="45"/>
      <c r="G72" s="45"/>
      <c r="H72" s="45"/>
      <c r="I72" s="45"/>
      <c r="J72" s="45"/>
      <c r="K72" s="45"/>
      <c r="L72" s="45"/>
      <c r="M72" s="45"/>
      <c r="N72" s="45"/>
    </row>
    <row r="73" ht="22.5" customHeight="1">
      <c r="A73" s="45"/>
      <c r="B73" s="45"/>
      <c r="C73" s="45"/>
      <c r="D73" s="45"/>
      <c r="E73" s="45"/>
      <c r="F73" s="45"/>
      <c r="G73" s="45"/>
      <c r="H73" s="45"/>
      <c r="I73" s="45"/>
      <c r="J73" s="45"/>
      <c r="K73" s="45"/>
      <c r="L73" s="45"/>
      <c r="M73" s="45"/>
      <c r="N73" s="45"/>
    </row>
    <row r="74" ht="22.5" customHeight="1">
      <c r="A74" s="45"/>
      <c r="B74" s="45"/>
      <c r="C74" s="45"/>
      <c r="D74" s="45"/>
      <c r="E74" s="45"/>
      <c r="F74" s="45"/>
      <c r="G74" s="45"/>
      <c r="H74" s="45"/>
      <c r="I74" s="45"/>
      <c r="J74" s="45"/>
      <c r="K74" s="45"/>
      <c r="L74" s="45"/>
      <c r="M74" s="45"/>
      <c r="N74" s="45"/>
    </row>
    <row r="75" ht="22.5" customHeight="1">
      <c r="A75" s="45"/>
      <c r="B75" s="45"/>
      <c r="C75" s="45"/>
      <c r="D75" s="45"/>
      <c r="E75" s="45"/>
      <c r="F75" s="45"/>
      <c r="G75" s="45"/>
      <c r="H75" s="45"/>
      <c r="I75" s="45"/>
      <c r="J75" s="45"/>
      <c r="K75" s="45"/>
      <c r="L75" s="45"/>
      <c r="M75" s="45"/>
      <c r="N75" s="45"/>
    </row>
    <row r="76" ht="22.5" customHeight="1">
      <c r="A76" s="45"/>
      <c r="B76" s="45"/>
      <c r="C76" s="45"/>
      <c r="D76" s="45"/>
      <c r="E76" s="45"/>
      <c r="F76" s="45"/>
      <c r="G76" s="45"/>
      <c r="H76" s="45"/>
      <c r="I76" s="45"/>
      <c r="J76" s="45"/>
      <c r="K76" s="45"/>
      <c r="L76" s="45"/>
      <c r="M76" s="45"/>
      <c r="N76" s="45"/>
    </row>
    <row r="77" ht="22.5" customHeight="1">
      <c r="A77" s="45"/>
      <c r="B77" s="45"/>
      <c r="C77" s="45"/>
      <c r="D77" s="45"/>
      <c r="E77" s="45"/>
      <c r="F77" s="45"/>
      <c r="G77" s="45"/>
      <c r="H77" s="45"/>
      <c r="I77" s="45"/>
      <c r="J77" s="45"/>
      <c r="K77" s="45"/>
      <c r="L77" s="45"/>
      <c r="M77" s="45"/>
      <c r="N77" s="45"/>
    </row>
    <row r="78" ht="22.5" customHeight="1">
      <c r="A78" s="45"/>
      <c r="B78" s="45"/>
      <c r="C78" s="45"/>
      <c r="D78" s="45"/>
      <c r="E78" s="45"/>
      <c r="F78" s="45"/>
      <c r="G78" s="45"/>
      <c r="H78" s="45"/>
      <c r="I78" s="45"/>
      <c r="J78" s="45"/>
      <c r="K78" s="45"/>
      <c r="L78" s="45"/>
      <c r="M78" s="45"/>
      <c r="N78" s="45"/>
    </row>
    <row r="79" ht="22.5" customHeight="1">
      <c r="A79" s="45"/>
      <c r="B79" s="45"/>
      <c r="C79" s="45"/>
      <c r="D79" s="45"/>
      <c r="E79" s="45"/>
      <c r="F79" s="45"/>
      <c r="G79" s="45"/>
      <c r="H79" s="45"/>
      <c r="I79" s="45"/>
      <c r="J79" s="45"/>
      <c r="K79" s="45"/>
      <c r="L79" s="45"/>
      <c r="M79" s="45"/>
      <c r="N79" s="45"/>
    </row>
    <row r="80" ht="22.5" customHeight="1">
      <c r="A80" s="45"/>
      <c r="B80" s="45"/>
      <c r="C80" s="45"/>
      <c r="D80" s="45"/>
      <c r="E80" s="45"/>
      <c r="F80" s="45"/>
      <c r="G80" s="45"/>
      <c r="H80" s="45"/>
      <c r="I80" s="45"/>
      <c r="J80" s="45"/>
      <c r="K80" s="45"/>
      <c r="L80" s="45"/>
      <c r="M80" s="45"/>
      <c r="N80" s="45"/>
    </row>
    <row r="81" ht="22.5" customHeight="1">
      <c r="A81" s="45"/>
      <c r="B81" s="45"/>
      <c r="C81" s="45"/>
      <c r="D81" s="45"/>
      <c r="E81" s="45"/>
      <c r="F81" s="45"/>
      <c r="G81" s="45"/>
      <c r="H81" s="45"/>
      <c r="I81" s="45"/>
      <c r="J81" s="45"/>
      <c r="K81" s="45"/>
      <c r="L81" s="45"/>
      <c r="M81" s="45"/>
      <c r="N81" s="45"/>
    </row>
    <row r="82" ht="22.5" customHeight="1">
      <c r="A82" s="45"/>
      <c r="B82" s="45"/>
      <c r="C82" s="45"/>
      <c r="D82" s="45"/>
      <c r="E82" s="45"/>
      <c r="F82" s="45"/>
      <c r="G82" s="45"/>
      <c r="H82" s="45"/>
      <c r="I82" s="45"/>
      <c r="J82" s="45"/>
      <c r="K82" s="45"/>
      <c r="L82" s="45"/>
      <c r="M82" s="45"/>
      <c r="N82" s="45"/>
    </row>
    <row r="83" ht="22.5" customHeight="1">
      <c r="A83" s="45"/>
      <c r="B83" s="45"/>
      <c r="C83" s="45"/>
      <c r="D83" s="45"/>
      <c r="E83" s="45"/>
      <c r="F83" s="45"/>
      <c r="G83" s="45"/>
      <c r="H83" s="45"/>
      <c r="I83" s="45"/>
      <c r="J83" s="45"/>
      <c r="K83" s="45"/>
      <c r="L83" s="45"/>
      <c r="M83" s="45"/>
      <c r="N83" s="45"/>
    </row>
    <row r="84" ht="22.5" customHeight="1">
      <c r="A84" s="45"/>
      <c r="B84" s="45"/>
      <c r="C84" s="45"/>
      <c r="D84" s="45"/>
      <c r="E84" s="45"/>
      <c r="F84" s="45"/>
      <c r="G84" s="45"/>
      <c r="H84" s="45"/>
      <c r="I84" s="45"/>
      <c r="J84" s="45"/>
      <c r="K84" s="45"/>
      <c r="L84" s="45"/>
      <c r="M84" s="45"/>
      <c r="N84" s="45"/>
    </row>
    <row r="85" ht="22.5" customHeight="1">
      <c r="A85" s="45"/>
      <c r="B85" s="45"/>
      <c r="C85" s="45"/>
      <c r="D85" s="45"/>
      <c r="E85" s="45"/>
      <c r="F85" s="45"/>
      <c r="G85" s="45"/>
      <c r="H85" s="45"/>
      <c r="I85" s="45"/>
      <c r="J85" s="45"/>
      <c r="K85" s="45"/>
      <c r="L85" s="45"/>
      <c r="M85" s="45"/>
      <c r="N85" s="45"/>
    </row>
    <row r="86" ht="22.5" customHeight="1">
      <c r="A86" s="45"/>
      <c r="B86" s="45"/>
      <c r="C86" s="45"/>
      <c r="D86" s="45"/>
      <c r="E86" s="45"/>
      <c r="F86" s="45"/>
      <c r="G86" s="45"/>
      <c r="H86" s="45"/>
      <c r="I86" s="45"/>
      <c r="J86" s="45"/>
      <c r="K86" s="45"/>
      <c r="L86" s="45"/>
      <c r="M86" s="45"/>
      <c r="N86" s="45"/>
    </row>
    <row r="87" ht="22.5" customHeight="1">
      <c r="A87" s="45"/>
      <c r="B87" s="45"/>
      <c r="C87" s="45"/>
      <c r="D87" s="45"/>
      <c r="E87" s="45"/>
      <c r="F87" s="45"/>
      <c r="G87" s="45"/>
      <c r="H87" s="45"/>
      <c r="I87" s="45"/>
      <c r="J87" s="45"/>
      <c r="K87" s="45"/>
      <c r="L87" s="45"/>
      <c r="M87" s="45"/>
      <c r="N87" s="45"/>
    </row>
    <row r="88" ht="22.5" customHeight="1">
      <c r="A88" s="45"/>
      <c r="B88" s="45"/>
      <c r="C88" s="45"/>
      <c r="D88" s="45"/>
      <c r="E88" s="45"/>
      <c r="F88" s="45"/>
      <c r="G88" s="45"/>
      <c r="H88" s="45"/>
      <c r="I88" s="45"/>
      <c r="J88" s="45"/>
      <c r="K88" s="45"/>
      <c r="L88" s="45"/>
      <c r="M88" s="45"/>
      <c r="N88" s="45"/>
    </row>
    <row r="89" ht="22.5" customHeight="1">
      <c r="A89" s="45"/>
      <c r="B89" s="45"/>
      <c r="C89" s="45"/>
      <c r="D89" s="45"/>
      <c r="E89" s="45"/>
      <c r="F89" s="45"/>
      <c r="G89" s="45"/>
      <c r="H89" s="45"/>
      <c r="I89" s="45"/>
      <c r="J89" s="45"/>
      <c r="K89" s="45"/>
      <c r="L89" s="45"/>
      <c r="M89" s="45"/>
      <c r="N89" s="45"/>
    </row>
    <row r="90" ht="22.5" customHeight="1">
      <c r="A90" s="45"/>
      <c r="B90" s="45"/>
      <c r="C90" s="45"/>
      <c r="D90" s="45"/>
      <c r="E90" s="45"/>
      <c r="F90" s="45"/>
      <c r="G90" s="45"/>
      <c r="H90" s="45"/>
      <c r="I90" s="45"/>
      <c r="J90" s="45"/>
      <c r="K90" s="45"/>
      <c r="L90" s="45"/>
      <c r="M90" s="45"/>
      <c r="N90" s="45"/>
    </row>
    <row r="91" ht="22.5" customHeight="1">
      <c r="A91" s="45"/>
      <c r="B91" s="45"/>
      <c r="C91" s="45"/>
      <c r="D91" s="45"/>
      <c r="E91" s="45"/>
      <c r="F91" s="45"/>
      <c r="G91" s="45"/>
      <c r="H91" s="45"/>
      <c r="I91" s="45"/>
      <c r="J91" s="45"/>
      <c r="K91" s="45"/>
      <c r="L91" s="45"/>
      <c r="M91" s="45"/>
      <c r="N91" s="45"/>
    </row>
    <row r="92" ht="22.5" customHeight="1">
      <c r="A92" s="45"/>
      <c r="B92" s="45"/>
      <c r="C92" s="45"/>
      <c r="D92" s="45"/>
      <c r="E92" s="45"/>
      <c r="F92" s="45"/>
      <c r="G92" s="45"/>
      <c r="H92" s="45"/>
      <c r="I92" s="45"/>
      <c r="J92" s="45"/>
      <c r="K92" s="45"/>
      <c r="L92" s="45"/>
      <c r="M92" s="45"/>
      <c r="N92" s="45"/>
    </row>
    <row r="93" ht="22.5" customHeight="1">
      <c r="A93" s="45"/>
      <c r="B93" s="45"/>
      <c r="C93" s="45"/>
      <c r="D93" s="45"/>
      <c r="E93" s="45"/>
      <c r="F93" s="45"/>
      <c r="G93" s="45"/>
      <c r="H93" s="45"/>
      <c r="I93" s="45"/>
      <c r="J93" s="45"/>
      <c r="K93" s="45"/>
      <c r="L93" s="45"/>
      <c r="M93" s="45"/>
      <c r="N93" s="45"/>
    </row>
    <row r="94" ht="22.5" customHeight="1">
      <c r="A94" s="45"/>
      <c r="B94" s="45"/>
      <c r="C94" s="45"/>
      <c r="D94" s="45"/>
      <c r="E94" s="45"/>
      <c r="F94" s="45"/>
      <c r="G94" s="45"/>
      <c r="H94" s="45"/>
      <c r="I94" s="45"/>
      <c r="J94" s="45"/>
      <c r="K94" s="45"/>
      <c r="L94" s="45"/>
      <c r="M94" s="45"/>
      <c r="N94" s="45"/>
    </row>
    <row r="95" ht="22.5" customHeight="1">
      <c r="A95" s="45"/>
      <c r="B95" s="45"/>
      <c r="C95" s="45"/>
      <c r="D95" s="45"/>
      <c r="E95" s="45"/>
      <c r="F95" s="45"/>
      <c r="G95" s="45"/>
      <c r="H95" s="45"/>
      <c r="I95" s="45"/>
      <c r="J95" s="45"/>
      <c r="K95" s="45"/>
      <c r="L95" s="45"/>
      <c r="M95" s="45"/>
      <c r="N95" s="45"/>
    </row>
    <row r="96" ht="22.5" customHeight="1">
      <c r="A96" s="45"/>
      <c r="B96" s="45"/>
      <c r="C96" s="45"/>
      <c r="D96" s="45"/>
      <c r="E96" s="45"/>
      <c r="F96" s="45"/>
      <c r="G96" s="45"/>
      <c r="H96" s="45"/>
      <c r="I96" s="45"/>
      <c r="J96" s="45"/>
      <c r="K96" s="45"/>
      <c r="L96" s="45"/>
      <c r="M96" s="45"/>
      <c r="N96" s="45"/>
    </row>
    <row r="97" ht="22.5" customHeight="1">
      <c r="A97" s="45"/>
      <c r="B97" s="45"/>
      <c r="C97" s="45"/>
      <c r="D97" s="45"/>
      <c r="E97" s="45"/>
      <c r="F97" s="45"/>
      <c r="G97" s="45"/>
      <c r="H97" s="45"/>
      <c r="I97" s="45"/>
      <c r="J97" s="45"/>
      <c r="K97" s="45"/>
      <c r="L97" s="45"/>
      <c r="M97" s="45"/>
      <c r="N97" s="45"/>
    </row>
    <row r="98" ht="22.5" customHeight="1">
      <c r="A98" s="45"/>
      <c r="B98" s="45"/>
      <c r="C98" s="45"/>
      <c r="D98" s="45"/>
      <c r="E98" s="45"/>
      <c r="F98" s="45"/>
      <c r="G98" s="45"/>
      <c r="H98" s="45"/>
      <c r="I98" s="45"/>
      <c r="J98" s="45"/>
      <c r="K98" s="45"/>
      <c r="L98" s="45"/>
      <c r="M98" s="45"/>
      <c r="N98" s="45"/>
    </row>
    <row r="99" ht="22.5" customHeight="1">
      <c r="A99" s="45"/>
      <c r="B99" s="45"/>
      <c r="C99" s="45"/>
      <c r="D99" s="45"/>
      <c r="E99" s="45"/>
      <c r="F99" s="45"/>
      <c r="G99" s="45"/>
      <c r="H99" s="45"/>
      <c r="I99" s="45"/>
      <c r="J99" s="45"/>
      <c r="K99" s="45"/>
      <c r="L99" s="45"/>
      <c r="M99" s="45"/>
      <c r="N99" s="45"/>
    </row>
    <row r="100" ht="22.5" customHeight="1">
      <c r="A100" s="45"/>
      <c r="B100" s="45"/>
      <c r="C100" s="45"/>
      <c r="D100" s="45"/>
      <c r="E100" s="45"/>
      <c r="F100" s="45"/>
      <c r="G100" s="45"/>
      <c r="H100" s="45"/>
      <c r="I100" s="45"/>
      <c r="J100" s="45"/>
      <c r="K100" s="45"/>
      <c r="L100" s="45"/>
      <c r="M100" s="45"/>
      <c r="N100" s="45"/>
    </row>
    <row r="101" ht="22.5" customHeight="1">
      <c r="A101" s="45"/>
      <c r="B101" s="45"/>
      <c r="C101" s="45"/>
      <c r="D101" s="45"/>
      <c r="E101" s="45"/>
      <c r="F101" s="45"/>
      <c r="G101" s="45"/>
      <c r="H101" s="45"/>
      <c r="I101" s="45"/>
      <c r="J101" s="45"/>
      <c r="K101" s="45"/>
      <c r="L101" s="45"/>
      <c r="M101" s="45"/>
      <c r="N101" s="45"/>
    </row>
    <row r="102" ht="22.5" customHeight="1">
      <c r="A102" s="45"/>
      <c r="B102" s="45"/>
      <c r="C102" s="45"/>
      <c r="D102" s="45"/>
      <c r="E102" s="45"/>
      <c r="F102" s="45"/>
      <c r="G102" s="45"/>
      <c r="H102" s="45"/>
      <c r="I102" s="45"/>
      <c r="J102" s="45"/>
      <c r="K102" s="45"/>
      <c r="L102" s="45"/>
      <c r="M102" s="45"/>
      <c r="N102" s="45"/>
    </row>
    <row r="103" ht="22.5" customHeight="1">
      <c r="A103" s="45"/>
      <c r="B103" s="45"/>
      <c r="C103" s="45"/>
      <c r="D103" s="45"/>
      <c r="E103" s="45"/>
      <c r="F103" s="45"/>
      <c r="G103" s="45"/>
      <c r="H103" s="45"/>
      <c r="I103" s="45"/>
      <c r="J103" s="45"/>
      <c r="K103" s="45"/>
      <c r="L103" s="45"/>
      <c r="M103" s="45"/>
      <c r="N103" s="45"/>
    </row>
    <row r="104" ht="22.5" customHeight="1">
      <c r="A104" s="45"/>
      <c r="B104" s="45"/>
      <c r="C104" s="45"/>
      <c r="D104" s="45"/>
      <c r="E104" s="45"/>
      <c r="F104" s="45"/>
      <c r="G104" s="45"/>
      <c r="H104" s="45"/>
      <c r="I104" s="45"/>
      <c r="J104" s="45"/>
      <c r="K104" s="45"/>
      <c r="L104" s="45"/>
      <c r="M104" s="45"/>
      <c r="N104" s="45"/>
    </row>
    <row r="105" ht="22.5" customHeight="1">
      <c r="A105" s="45"/>
      <c r="B105" s="45"/>
      <c r="C105" s="45"/>
      <c r="D105" s="45"/>
      <c r="E105" s="45"/>
      <c r="F105" s="45"/>
      <c r="G105" s="45"/>
      <c r="H105" s="45"/>
      <c r="I105" s="45"/>
      <c r="J105" s="45"/>
      <c r="K105" s="45"/>
      <c r="L105" s="45"/>
      <c r="M105" s="45"/>
      <c r="N105" s="45"/>
    </row>
    <row r="106" ht="22.5" customHeight="1">
      <c r="A106" s="45"/>
      <c r="B106" s="45"/>
      <c r="C106" s="45"/>
      <c r="D106" s="45"/>
      <c r="E106" s="45"/>
      <c r="F106" s="45"/>
      <c r="G106" s="45"/>
      <c r="H106" s="45"/>
      <c r="I106" s="45"/>
      <c r="J106" s="45"/>
      <c r="K106" s="45"/>
      <c r="L106" s="45"/>
      <c r="M106" s="45"/>
      <c r="N106" s="45"/>
    </row>
    <row r="107" ht="22.5" customHeight="1">
      <c r="A107" s="45"/>
      <c r="B107" s="45"/>
      <c r="C107" s="45"/>
      <c r="D107" s="45"/>
      <c r="E107" s="45"/>
      <c r="F107" s="45"/>
      <c r="G107" s="45"/>
      <c r="H107" s="45"/>
      <c r="I107" s="45"/>
      <c r="J107" s="45"/>
      <c r="K107" s="45"/>
      <c r="L107" s="45"/>
      <c r="M107" s="45"/>
      <c r="N107" s="45"/>
    </row>
    <row r="108" ht="22.5" customHeight="1">
      <c r="A108" s="45"/>
      <c r="B108" s="45"/>
      <c r="C108" s="45"/>
      <c r="D108" s="45"/>
      <c r="E108" s="45"/>
      <c r="F108" s="45"/>
      <c r="G108" s="45"/>
      <c r="H108" s="45"/>
      <c r="I108" s="45"/>
      <c r="J108" s="45"/>
      <c r="K108" s="45"/>
      <c r="L108" s="45"/>
      <c r="M108" s="45"/>
      <c r="N108" s="45"/>
    </row>
    <row r="109" ht="22.5" customHeight="1">
      <c r="A109" s="45"/>
      <c r="B109" s="45"/>
      <c r="C109" s="45"/>
      <c r="D109" s="45"/>
      <c r="E109" s="45"/>
      <c r="F109" s="45"/>
      <c r="G109" s="45"/>
      <c r="H109" s="45"/>
      <c r="I109" s="45"/>
      <c r="J109" s="45"/>
      <c r="K109" s="45"/>
      <c r="L109" s="45"/>
      <c r="M109" s="45"/>
      <c r="N109" s="45"/>
    </row>
    <row r="110" ht="22.5" customHeight="1">
      <c r="A110" s="45"/>
      <c r="B110" s="45"/>
      <c r="C110" s="45"/>
      <c r="D110" s="45"/>
      <c r="E110" s="45"/>
      <c r="F110" s="45"/>
      <c r="G110" s="45"/>
      <c r="H110" s="45"/>
      <c r="I110" s="45"/>
      <c r="J110" s="45"/>
      <c r="K110" s="45"/>
      <c r="L110" s="45"/>
      <c r="M110" s="45"/>
      <c r="N110" s="45"/>
    </row>
    <row r="111" ht="22.5" customHeight="1">
      <c r="A111" s="45"/>
      <c r="B111" s="45"/>
      <c r="C111" s="45"/>
      <c r="D111" s="45"/>
      <c r="E111" s="45"/>
      <c r="F111" s="45"/>
      <c r="G111" s="45"/>
      <c r="H111" s="45"/>
      <c r="I111" s="45"/>
      <c r="J111" s="45"/>
      <c r="K111" s="45"/>
      <c r="L111" s="45"/>
      <c r="M111" s="45"/>
      <c r="N111" s="45"/>
    </row>
    <row r="112" ht="22.5" customHeight="1">
      <c r="A112" s="45"/>
      <c r="B112" s="45"/>
      <c r="C112" s="45"/>
      <c r="D112" s="45"/>
      <c r="E112" s="45"/>
      <c r="F112" s="45"/>
      <c r="G112" s="45"/>
      <c r="H112" s="45"/>
      <c r="I112" s="45"/>
      <c r="J112" s="45"/>
      <c r="K112" s="45"/>
      <c r="L112" s="45"/>
      <c r="M112" s="45"/>
      <c r="N112" s="45"/>
    </row>
    <row r="113" ht="22.5" customHeight="1">
      <c r="A113" s="45"/>
      <c r="B113" s="45"/>
      <c r="C113" s="45"/>
      <c r="D113" s="45"/>
      <c r="E113" s="45"/>
      <c r="F113" s="45"/>
      <c r="G113" s="45"/>
      <c r="H113" s="45"/>
      <c r="I113" s="45"/>
      <c r="J113" s="45"/>
      <c r="K113" s="45"/>
      <c r="L113" s="45"/>
      <c r="M113" s="45"/>
      <c r="N113" s="45"/>
    </row>
    <row r="114" ht="22.5" customHeight="1">
      <c r="A114" s="45"/>
      <c r="B114" s="45"/>
      <c r="C114" s="45"/>
      <c r="D114" s="45"/>
      <c r="E114" s="45"/>
      <c r="F114" s="45"/>
      <c r="G114" s="45"/>
      <c r="H114" s="45"/>
      <c r="I114" s="45"/>
      <c r="J114" s="45"/>
      <c r="K114" s="45"/>
      <c r="L114" s="45"/>
      <c r="M114" s="45"/>
      <c r="N114" s="45"/>
    </row>
    <row r="115" ht="22.5" customHeight="1">
      <c r="A115" s="45"/>
      <c r="B115" s="45"/>
      <c r="C115" s="45"/>
      <c r="D115" s="45"/>
      <c r="E115" s="45"/>
      <c r="F115" s="45"/>
      <c r="G115" s="45"/>
      <c r="H115" s="45"/>
      <c r="I115" s="45"/>
      <c r="J115" s="45"/>
      <c r="K115" s="45"/>
      <c r="L115" s="45"/>
      <c r="M115" s="45"/>
      <c r="N115" s="45"/>
    </row>
    <row r="116" ht="22.5" customHeight="1">
      <c r="A116" s="45"/>
      <c r="B116" s="45"/>
      <c r="C116" s="45"/>
      <c r="D116" s="45"/>
      <c r="E116" s="45"/>
      <c r="F116" s="45"/>
      <c r="G116" s="45"/>
      <c r="H116" s="45"/>
      <c r="I116" s="45"/>
      <c r="J116" s="45"/>
      <c r="K116" s="45"/>
      <c r="L116" s="45"/>
      <c r="M116" s="45"/>
      <c r="N116" s="45"/>
    </row>
    <row r="117" ht="22.5" customHeight="1">
      <c r="A117" s="45"/>
      <c r="B117" s="45"/>
      <c r="C117" s="45"/>
      <c r="D117" s="45"/>
      <c r="E117" s="45"/>
      <c r="F117" s="45"/>
      <c r="G117" s="45"/>
      <c r="H117" s="45"/>
      <c r="I117" s="45"/>
      <c r="J117" s="45"/>
      <c r="K117" s="45"/>
      <c r="L117" s="45"/>
      <c r="M117" s="45"/>
      <c r="N117" s="45"/>
    </row>
    <row r="118" ht="22.5" customHeight="1">
      <c r="A118" s="45"/>
      <c r="B118" s="45"/>
      <c r="C118" s="45"/>
      <c r="D118" s="45"/>
      <c r="E118" s="45"/>
      <c r="F118" s="45"/>
      <c r="G118" s="45"/>
      <c r="H118" s="45"/>
      <c r="I118" s="45"/>
      <c r="J118" s="45"/>
      <c r="K118" s="45"/>
      <c r="L118" s="45"/>
      <c r="M118" s="45"/>
      <c r="N118" s="45"/>
    </row>
    <row r="119" ht="22.5" customHeight="1">
      <c r="A119" s="45"/>
      <c r="B119" s="45"/>
      <c r="C119" s="45"/>
      <c r="D119" s="45"/>
      <c r="E119" s="45"/>
      <c r="F119" s="45"/>
      <c r="G119" s="45"/>
      <c r="H119" s="45"/>
      <c r="I119" s="45"/>
      <c r="J119" s="45"/>
      <c r="K119" s="45"/>
      <c r="L119" s="45"/>
      <c r="M119" s="45"/>
      <c r="N119" s="45"/>
    </row>
    <row r="120" ht="22.5" customHeight="1">
      <c r="A120" s="45"/>
      <c r="B120" s="45"/>
      <c r="C120" s="45"/>
      <c r="D120" s="45"/>
      <c r="E120" s="45"/>
      <c r="F120" s="45"/>
      <c r="G120" s="45"/>
      <c r="H120" s="45"/>
      <c r="I120" s="45"/>
      <c r="J120" s="45"/>
      <c r="K120" s="45"/>
      <c r="L120" s="45"/>
      <c r="M120" s="45"/>
      <c r="N120" s="45"/>
    </row>
    <row r="121" ht="22.5" customHeight="1">
      <c r="A121" s="45"/>
      <c r="B121" s="45"/>
      <c r="C121" s="45"/>
      <c r="D121" s="45"/>
      <c r="E121" s="45"/>
      <c r="F121" s="45"/>
      <c r="G121" s="45"/>
      <c r="H121" s="45"/>
      <c r="I121" s="45"/>
      <c r="J121" s="45"/>
      <c r="K121" s="45"/>
      <c r="L121" s="45"/>
      <c r="M121" s="45"/>
      <c r="N121" s="45"/>
    </row>
    <row r="122" ht="22.5" customHeight="1">
      <c r="A122" s="45"/>
      <c r="B122" s="45"/>
      <c r="C122" s="45"/>
      <c r="D122" s="45"/>
      <c r="E122" s="45"/>
      <c r="F122" s="45"/>
      <c r="G122" s="45"/>
      <c r="H122" s="45"/>
      <c r="I122" s="45"/>
      <c r="J122" s="45"/>
      <c r="K122" s="45"/>
      <c r="L122" s="45"/>
      <c r="M122" s="45"/>
      <c r="N122" s="45"/>
    </row>
    <row r="123" ht="22.5" customHeight="1">
      <c r="A123" s="45"/>
      <c r="B123" s="45"/>
      <c r="C123" s="45"/>
      <c r="D123" s="45"/>
      <c r="E123" s="45"/>
      <c r="F123" s="45"/>
      <c r="G123" s="45"/>
      <c r="H123" s="45"/>
      <c r="I123" s="45"/>
      <c r="J123" s="45"/>
      <c r="K123" s="45"/>
      <c r="L123" s="45"/>
      <c r="M123" s="45"/>
      <c r="N123" s="45"/>
    </row>
    <row r="124" ht="22.5" customHeight="1">
      <c r="A124" s="45"/>
      <c r="B124" s="45"/>
      <c r="C124" s="45"/>
      <c r="D124" s="45"/>
      <c r="E124" s="45"/>
      <c r="F124" s="45"/>
      <c r="G124" s="45"/>
      <c r="H124" s="45"/>
      <c r="I124" s="45"/>
      <c r="J124" s="45"/>
      <c r="K124" s="45"/>
      <c r="L124" s="45"/>
      <c r="M124" s="45"/>
      <c r="N124" s="45"/>
    </row>
    <row r="125" ht="22.5" customHeight="1">
      <c r="A125" s="45"/>
      <c r="B125" s="45"/>
      <c r="C125" s="45"/>
      <c r="D125" s="45"/>
      <c r="E125" s="45"/>
      <c r="F125" s="45"/>
      <c r="G125" s="45"/>
      <c r="H125" s="45"/>
      <c r="I125" s="45"/>
      <c r="J125" s="45"/>
      <c r="K125" s="45"/>
      <c r="L125" s="45"/>
      <c r="M125" s="45"/>
      <c r="N125" s="45"/>
    </row>
    <row r="126" ht="22.5" customHeight="1">
      <c r="A126" s="45"/>
      <c r="B126" s="45"/>
      <c r="C126" s="45"/>
      <c r="D126" s="45"/>
      <c r="E126" s="45"/>
      <c r="F126" s="45"/>
      <c r="G126" s="45"/>
      <c r="H126" s="45"/>
      <c r="I126" s="45"/>
      <c r="J126" s="45"/>
      <c r="K126" s="45"/>
      <c r="L126" s="45"/>
      <c r="M126" s="45"/>
      <c r="N126" s="45"/>
    </row>
    <row r="127" ht="22.5" customHeight="1">
      <c r="A127" s="45"/>
      <c r="B127" s="45"/>
      <c r="C127" s="45"/>
      <c r="D127" s="45"/>
      <c r="E127" s="45"/>
      <c r="F127" s="45"/>
      <c r="G127" s="45"/>
      <c r="H127" s="45"/>
      <c r="I127" s="45"/>
      <c r="J127" s="45"/>
      <c r="K127" s="45"/>
      <c r="L127" s="45"/>
      <c r="M127" s="45"/>
      <c r="N127" s="45"/>
    </row>
    <row r="128" ht="22.5" customHeight="1">
      <c r="A128" s="45"/>
      <c r="B128" s="45"/>
      <c r="C128" s="45"/>
      <c r="D128" s="45"/>
      <c r="E128" s="45"/>
      <c r="F128" s="45"/>
      <c r="G128" s="45"/>
      <c r="H128" s="45"/>
      <c r="I128" s="45"/>
      <c r="J128" s="45"/>
      <c r="K128" s="45"/>
      <c r="L128" s="45"/>
      <c r="M128" s="45"/>
      <c r="N128" s="45"/>
    </row>
    <row r="129" ht="22.5" customHeight="1">
      <c r="A129" s="45"/>
      <c r="B129" s="45"/>
      <c r="C129" s="45"/>
      <c r="D129" s="45"/>
      <c r="E129" s="45"/>
      <c r="F129" s="45"/>
      <c r="G129" s="45"/>
      <c r="H129" s="45"/>
      <c r="I129" s="45"/>
      <c r="J129" s="45"/>
      <c r="K129" s="45"/>
      <c r="L129" s="45"/>
      <c r="M129" s="45"/>
      <c r="N129" s="45"/>
    </row>
    <row r="130" ht="22.5" customHeight="1">
      <c r="A130" s="45"/>
      <c r="B130" s="45"/>
      <c r="C130" s="45"/>
      <c r="D130" s="45"/>
      <c r="E130" s="45"/>
      <c r="F130" s="45"/>
      <c r="G130" s="45"/>
      <c r="H130" s="45"/>
      <c r="I130" s="45"/>
      <c r="J130" s="45"/>
      <c r="K130" s="45"/>
      <c r="L130" s="45"/>
      <c r="M130" s="45"/>
      <c r="N130" s="45"/>
    </row>
    <row r="131" ht="22.5" customHeight="1">
      <c r="A131" s="45"/>
      <c r="B131" s="45"/>
      <c r="C131" s="45"/>
      <c r="D131" s="45"/>
      <c r="E131" s="45"/>
      <c r="F131" s="45"/>
      <c r="G131" s="45"/>
      <c r="H131" s="45"/>
      <c r="I131" s="45"/>
      <c r="J131" s="45"/>
      <c r="K131" s="45"/>
      <c r="L131" s="45"/>
      <c r="M131" s="45"/>
      <c r="N131" s="45"/>
    </row>
    <row r="132" ht="22.5" customHeight="1">
      <c r="A132" s="45"/>
      <c r="B132" s="45"/>
      <c r="C132" s="45"/>
      <c r="D132" s="45"/>
      <c r="E132" s="45"/>
      <c r="F132" s="45"/>
      <c r="G132" s="45"/>
      <c r="H132" s="45"/>
      <c r="I132" s="45"/>
      <c r="J132" s="45"/>
      <c r="K132" s="45"/>
      <c r="L132" s="45"/>
      <c r="M132" s="45"/>
      <c r="N132" s="45"/>
    </row>
    <row r="133" ht="22.5" customHeight="1">
      <c r="A133" s="45"/>
      <c r="B133" s="45"/>
      <c r="C133" s="45"/>
      <c r="D133" s="45"/>
      <c r="E133" s="45"/>
      <c r="F133" s="45"/>
      <c r="G133" s="45"/>
      <c r="H133" s="45"/>
      <c r="I133" s="45"/>
      <c r="J133" s="45"/>
      <c r="K133" s="45"/>
      <c r="L133" s="45"/>
      <c r="M133" s="45"/>
      <c r="N133" s="45"/>
    </row>
    <row r="134" ht="22.5" customHeight="1">
      <c r="A134" s="45"/>
      <c r="B134" s="45"/>
      <c r="C134" s="45"/>
      <c r="D134" s="45"/>
      <c r="E134" s="45"/>
      <c r="F134" s="45"/>
      <c r="G134" s="45"/>
      <c r="H134" s="45"/>
      <c r="I134" s="45"/>
      <c r="J134" s="45"/>
      <c r="K134" s="45"/>
      <c r="L134" s="45"/>
      <c r="M134" s="45"/>
      <c r="N134" s="45"/>
    </row>
    <row r="135" ht="22.5" customHeight="1">
      <c r="A135" s="45"/>
      <c r="B135" s="45"/>
      <c r="C135" s="45"/>
      <c r="D135" s="45"/>
      <c r="E135" s="45"/>
      <c r="F135" s="45"/>
      <c r="G135" s="45"/>
      <c r="H135" s="45"/>
      <c r="I135" s="45"/>
      <c r="J135" s="45"/>
      <c r="K135" s="45"/>
      <c r="L135" s="45"/>
      <c r="M135" s="45"/>
      <c r="N135" s="45"/>
    </row>
    <row r="136" ht="22.5" customHeight="1">
      <c r="A136" s="45"/>
      <c r="B136" s="45"/>
      <c r="C136" s="45"/>
      <c r="D136" s="45"/>
      <c r="E136" s="45"/>
      <c r="F136" s="45"/>
      <c r="G136" s="45"/>
      <c r="H136" s="45"/>
      <c r="I136" s="45"/>
      <c r="J136" s="45"/>
      <c r="K136" s="45"/>
      <c r="L136" s="45"/>
      <c r="M136" s="45"/>
      <c r="N136" s="45"/>
    </row>
    <row r="137" ht="22.5" customHeight="1">
      <c r="A137" s="45"/>
      <c r="B137" s="45"/>
      <c r="C137" s="45"/>
      <c r="D137" s="45"/>
      <c r="E137" s="45"/>
      <c r="F137" s="45"/>
      <c r="G137" s="45"/>
      <c r="H137" s="45"/>
      <c r="I137" s="45"/>
      <c r="J137" s="45"/>
      <c r="K137" s="45"/>
      <c r="L137" s="45"/>
      <c r="M137" s="45"/>
      <c r="N137" s="45"/>
    </row>
    <row r="138" ht="22.5" customHeight="1">
      <c r="A138" s="45"/>
      <c r="B138" s="45"/>
      <c r="C138" s="45"/>
      <c r="D138" s="45"/>
      <c r="E138" s="45"/>
      <c r="F138" s="45"/>
      <c r="G138" s="45"/>
      <c r="H138" s="45"/>
      <c r="I138" s="45"/>
      <c r="J138" s="45"/>
      <c r="K138" s="45"/>
      <c r="L138" s="45"/>
      <c r="M138" s="45"/>
      <c r="N138" s="45"/>
    </row>
    <row r="139" ht="22.5" customHeight="1">
      <c r="A139" s="45"/>
      <c r="B139" s="45"/>
      <c r="C139" s="45"/>
      <c r="D139" s="45"/>
      <c r="E139" s="45"/>
      <c r="F139" s="45"/>
      <c r="G139" s="45"/>
      <c r="H139" s="45"/>
      <c r="I139" s="45"/>
      <c r="J139" s="45"/>
      <c r="K139" s="45"/>
      <c r="L139" s="45"/>
      <c r="M139" s="45"/>
      <c r="N139" s="45"/>
    </row>
    <row r="140" ht="22.5" customHeight="1">
      <c r="A140" s="45"/>
      <c r="B140" s="45"/>
      <c r="C140" s="45"/>
      <c r="D140" s="45"/>
      <c r="E140" s="45"/>
      <c r="F140" s="45"/>
      <c r="G140" s="45"/>
      <c r="H140" s="45"/>
      <c r="I140" s="45"/>
      <c r="J140" s="45"/>
      <c r="K140" s="45"/>
      <c r="L140" s="45"/>
      <c r="M140" s="45"/>
      <c r="N140" s="45"/>
    </row>
    <row r="141" ht="22.5" customHeight="1">
      <c r="A141" s="45"/>
      <c r="B141" s="45"/>
      <c r="C141" s="45"/>
      <c r="D141" s="45"/>
      <c r="E141" s="45"/>
      <c r="F141" s="45"/>
      <c r="G141" s="45"/>
      <c r="H141" s="45"/>
      <c r="I141" s="45"/>
      <c r="J141" s="45"/>
      <c r="K141" s="45"/>
      <c r="L141" s="45"/>
      <c r="M141" s="45"/>
      <c r="N141" s="45"/>
    </row>
    <row r="142" ht="22.5" customHeight="1">
      <c r="A142" s="45"/>
      <c r="B142" s="45"/>
      <c r="C142" s="45"/>
      <c r="D142" s="45"/>
      <c r="E142" s="45"/>
      <c r="F142" s="45"/>
      <c r="G142" s="45"/>
      <c r="H142" s="45"/>
      <c r="I142" s="45"/>
      <c r="J142" s="45"/>
      <c r="K142" s="45"/>
      <c r="L142" s="45"/>
      <c r="M142" s="45"/>
      <c r="N142" s="45"/>
    </row>
    <row r="143" ht="22.5" customHeight="1">
      <c r="A143" s="45"/>
      <c r="B143" s="45"/>
      <c r="C143" s="45"/>
      <c r="D143" s="45"/>
      <c r="E143" s="45"/>
      <c r="F143" s="45"/>
      <c r="G143" s="45"/>
      <c r="H143" s="45"/>
      <c r="I143" s="45"/>
      <c r="J143" s="45"/>
      <c r="K143" s="45"/>
      <c r="L143" s="45"/>
      <c r="M143" s="45"/>
      <c r="N143" s="45"/>
    </row>
    <row r="144" ht="22.5" customHeight="1">
      <c r="A144" s="45"/>
      <c r="B144" s="45"/>
      <c r="C144" s="45"/>
      <c r="D144" s="45"/>
      <c r="E144" s="45"/>
      <c r="F144" s="45"/>
      <c r="G144" s="45"/>
      <c r="H144" s="45"/>
      <c r="I144" s="45"/>
      <c r="J144" s="45"/>
      <c r="K144" s="45"/>
      <c r="L144" s="45"/>
      <c r="M144" s="45"/>
      <c r="N144" s="45"/>
    </row>
    <row r="145" ht="22.5" customHeight="1">
      <c r="A145" s="45"/>
      <c r="B145" s="45"/>
      <c r="C145" s="45"/>
      <c r="D145" s="45"/>
      <c r="E145" s="45"/>
      <c r="F145" s="45"/>
      <c r="G145" s="45"/>
      <c r="H145" s="45"/>
      <c r="I145" s="45"/>
      <c r="J145" s="45"/>
      <c r="K145" s="45"/>
      <c r="L145" s="45"/>
      <c r="M145" s="45"/>
      <c r="N145" s="45"/>
    </row>
    <row r="146" ht="22.5" customHeight="1">
      <c r="A146" s="45"/>
      <c r="B146" s="45"/>
      <c r="C146" s="45"/>
      <c r="D146" s="45"/>
      <c r="E146" s="45"/>
      <c r="F146" s="45"/>
      <c r="G146" s="45"/>
      <c r="H146" s="45"/>
      <c r="I146" s="45"/>
      <c r="J146" s="45"/>
      <c r="K146" s="45"/>
      <c r="L146" s="45"/>
      <c r="M146" s="45"/>
      <c r="N146" s="45"/>
    </row>
    <row r="147" ht="22.5" customHeight="1">
      <c r="A147" s="45"/>
      <c r="B147" s="45"/>
      <c r="C147" s="45"/>
      <c r="D147" s="45"/>
      <c r="E147" s="45"/>
      <c r="F147" s="45"/>
      <c r="G147" s="45"/>
      <c r="H147" s="45"/>
      <c r="I147" s="45"/>
      <c r="J147" s="45"/>
      <c r="K147" s="45"/>
      <c r="L147" s="45"/>
      <c r="M147" s="45"/>
      <c r="N147" s="45"/>
    </row>
    <row r="148" ht="22.5" customHeight="1">
      <c r="A148" s="45"/>
      <c r="B148" s="45"/>
      <c r="C148" s="45"/>
      <c r="D148" s="45"/>
      <c r="E148" s="45"/>
      <c r="F148" s="45"/>
      <c r="G148" s="45"/>
      <c r="H148" s="45"/>
      <c r="I148" s="45"/>
      <c r="J148" s="45"/>
      <c r="K148" s="45"/>
      <c r="L148" s="45"/>
      <c r="M148" s="45"/>
      <c r="N148" s="45"/>
    </row>
    <row r="149" ht="22.5" customHeight="1">
      <c r="A149" s="45"/>
      <c r="B149" s="45"/>
      <c r="C149" s="45"/>
      <c r="D149" s="45"/>
      <c r="E149" s="45"/>
      <c r="F149" s="45"/>
      <c r="G149" s="45"/>
      <c r="H149" s="45"/>
      <c r="I149" s="45"/>
      <c r="J149" s="45"/>
      <c r="K149" s="45"/>
      <c r="L149" s="45"/>
      <c r="M149" s="45"/>
      <c r="N149" s="45"/>
    </row>
    <row r="150" ht="22.5" customHeight="1">
      <c r="A150" s="45"/>
      <c r="B150" s="45"/>
      <c r="C150" s="45"/>
      <c r="D150" s="45"/>
      <c r="E150" s="45"/>
      <c r="F150" s="45"/>
      <c r="G150" s="45"/>
      <c r="H150" s="45"/>
      <c r="I150" s="45"/>
      <c r="J150" s="45"/>
      <c r="K150" s="45"/>
      <c r="L150" s="45"/>
      <c r="M150" s="45"/>
      <c r="N150" s="45"/>
    </row>
    <row r="151" ht="22.5" customHeight="1">
      <c r="A151" s="45"/>
      <c r="B151" s="45"/>
      <c r="C151" s="45"/>
      <c r="D151" s="45"/>
      <c r="E151" s="45"/>
      <c r="F151" s="45"/>
      <c r="G151" s="45"/>
      <c r="H151" s="45"/>
      <c r="I151" s="45"/>
      <c r="J151" s="45"/>
      <c r="K151" s="45"/>
      <c r="L151" s="45"/>
      <c r="M151" s="45"/>
      <c r="N151" s="45"/>
    </row>
    <row r="152" ht="22.5" customHeight="1">
      <c r="A152" s="45"/>
      <c r="B152" s="45"/>
      <c r="C152" s="45"/>
      <c r="D152" s="45"/>
      <c r="E152" s="45"/>
      <c r="F152" s="45"/>
      <c r="G152" s="45"/>
      <c r="H152" s="45"/>
      <c r="I152" s="45"/>
      <c r="J152" s="45"/>
      <c r="K152" s="45"/>
      <c r="L152" s="45"/>
      <c r="M152" s="45"/>
      <c r="N152" s="45"/>
    </row>
    <row r="153" ht="22.5" customHeight="1">
      <c r="A153" s="45"/>
      <c r="B153" s="45"/>
      <c r="C153" s="45"/>
      <c r="D153" s="45"/>
      <c r="E153" s="45"/>
      <c r="F153" s="45"/>
      <c r="G153" s="45"/>
      <c r="H153" s="45"/>
      <c r="I153" s="45"/>
      <c r="J153" s="45"/>
      <c r="K153" s="45"/>
      <c r="L153" s="45"/>
      <c r="M153" s="45"/>
      <c r="N153" s="45"/>
    </row>
    <row r="154" ht="22.5" customHeight="1">
      <c r="A154" s="45"/>
      <c r="B154" s="45"/>
      <c r="C154" s="45"/>
      <c r="D154" s="45"/>
      <c r="E154" s="45"/>
      <c r="F154" s="45"/>
      <c r="G154" s="45"/>
      <c r="H154" s="45"/>
      <c r="I154" s="45"/>
      <c r="J154" s="45"/>
      <c r="K154" s="45"/>
      <c r="L154" s="45"/>
      <c r="M154" s="45"/>
      <c r="N154" s="45"/>
    </row>
    <row r="155" ht="22.5" customHeight="1">
      <c r="A155" s="45"/>
      <c r="B155" s="45"/>
      <c r="C155" s="45"/>
      <c r="D155" s="45"/>
      <c r="E155" s="45"/>
      <c r="F155" s="45"/>
      <c r="G155" s="45"/>
      <c r="H155" s="45"/>
      <c r="I155" s="45"/>
      <c r="J155" s="45"/>
      <c r="K155" s="45"/>
      <c r="L155" s="45"/>
      <c r="M155" s="45"/>
      <c r="N155" s="45"/>
    </row>
    <row r="156" ht="22.5" customHeight="1">
      <c r="A156" s="45"/>
      <c r="B156" s="45"/>
      <c r="C156" s="45"/>
      <c r="D156" s="45"/>
      <c r="E156" s="45"/>
      <c r="F156" s="45"/>
      <c r="G156" s="45"/>
      <c r="H156" s="45"/>
      <c r="I156" s="45"/>
      <c r="J156" s="45"/>
      <c r="K156" s="45"/>
      <c r="L156" s="45"/>
      <c r="M156" s="45"/>
      <c r="N156" s="45"/>
    </row>
    <row r="157" ht="22.5" customHeight="1">
      <c r="A157" s="45"/>
      <c r="B157" s="45"/>
      <c r="C157" s="45"/>
      <c r="D157" s="45"/>
      <c r="E157" s="45"/>
      <c r="F157" s="45"/>
      <c r="G157" s="45"/>
      <c r="H157" s="45"/>
      <c r="I157" s="45"/>
      <c r="J157" s="45"/>
      <c r="K157" s="45"/>
      <c r="L157" s="45"/>
      <c r="M157" s="45"/>
      <c r="N157" s="45"/>
    </row>
    <row r="158" ht="22.5" customHeight="1">
      <c r="A158" s="45"/>
      <c r="B158" s="45"/>
      <c r="C158" s="45"/>
      <c r="D158" s="45"/>
      <c r="E158" s="45"/>
      <c r="F158" s="45"/>
      <c r="G158" s="45"/>
      <c r="H158" s="45"/>
      <c r="I158" s="45"/>
      <c r="J158" s="45"/>
      <c r="K158" s="45"/>
      <c r="L158" s="45"/>
      <c r="M158" s="45"/>
      <c r="N158" s="45"/>
    </row>
    <row r="159" ht="22.5" customHeight="1">
      <c r="A159" s="45"/>
      <c r="B159" s="45"/>
      <c r="C159" s="45"/>
      <c r="D159" s="45"/>
      <c r="E159" s="45"/>
      <c r="F159" s="45"/>
      <c r="G159" s="45"/>
      <c r="H159" s="45"/>
      <c r="I159" s="45"/>
      <c r="J159" s="45"/>
      <c r="K159" s="45"/>
      <c r="L159" s="45"/>
      <c r="M159" s="45"/>
      <c r="N159" s="45"/>
    </row>
    <row r="160" ht="22.5" customHeight="1">
      <c r="A160" s="45"/>
      <c r="B160" s="45"/>
      <c r="C160" s="45"/>
      <c r="D160" s="45"/>
      <c r="E160" s="45"/>
      <c r="F160" s="45"/>
      <c r="G160" s="45"/>
      <c r="H160" s="45"/>
      <c r="I160" s="45"/>
      <c r="J160" s="45"/>
      <c r="K160" s="45"/>
      <c r="L160" s="45"/>
      <c r="M160" s="45"/>
      <c r="N160" s="45"/>
    </row>
    <row r="161" ht="22.5" customHeight="1">
      <c r="A161" s="45"/>
      <c r="B161" s="45"/>
      <c r="C161" s="45"/>
      <c r="D161" s="45"/>
      <c r="E161" s="45"/>
      <c r="F161" s="45"/>
      <c r="G161" s="45"/>
      <c r="H161" s="45"/>
      <c r="I161" s="45"/>
      <c r="J161" s="45"/>
      <c r="K161" s="45"/>
      <c r="L161" s="45"/>
      <c r="M161" s="45"/>
      <c r="N161" s="45"/>
    </row>
    <row r="162" ht="22.5" customHeight="1">
      <c r="A162" s="45"/>
      <c r="B162" s="45"/>
      <c r="C162" s="45"/>
      <c r="D162" s="45"/>
      <c r="E162" s="45"/>
      <c r="F162" s="45"/>
      <c r="G162" s="45"/>
      <c r="H162" s="45"/>
      <c r="I162" s="45"/>
      <c r="J162" s="45"/>
      <c r="K162" s="45"/>
      <c r="L162" s="45"/>
      <c r="M162" s="45"/>
      <c r="N162" s="45"/>
    </row>
    <row r="163" ht="22.5" customHeight="1">
      <c r="A163" s="45"/>
      <c r="B163" s="45"/>
      <c r="C163" s="45"/>
      <c r="D163" s="45"/>
      <c r="E163" s="45"/>
      <c r="F163" s="45"/>
      <c r="G163" s="45"/>
      <c r="H163" s="45"/>
      <c r="I163" s="45"/>
      <c r="J163" s="45"/>
      <c r="K163" s="45"/>
      <c r="L163" s="45"/>
      <c r="M163" s="45"/>
      <c r="N163" s="45"/>
    </row>
    <row r="164" ht="22.5" customHeight="1">
      <c r="A164" s="45"/>
      <c r="B164" s="45"/>
      <c r="C164" s="45"/>
      <c r="D164" s="45"/>
      <c r="E164" s="45"/>
      <c r="F164" s="45"/>
      <c r="G164" s="45"/>
      <c r="H164" s="45"/>
      <c r="I164" s="45"/>
      <c r="J164" s="45"/>
      <c r="K164" s="45"/>
      <c r="L164" s="45"/>
      <c r="M164" s="45"/>
      <c r="N164" s="45"/>
    </row>
    <row r="165" ht="22.5" customHeight="1">
      <c r="A165" s="45"/>
      <c r="B165" s="45"/>
      <c r="C165" s="45"/>
      <c r="D165" s="45"/>
      <c r="E165" s="45"/>
      <c r="F165" s="45"/>
      <c r="G165" s="45"/>
      <c r="H165" s="45"/>
      <c r="I165" s="45"/>
      <c r="J165" s="45"/>
      <c r="K165" s="45"/>
      <c r="L165" s="45"/>
      <c r="M165" s="45"/>
      <c r="N165" s="45"/>
    </row>
    <row r="166" ht="22.5" customHeight="1">
      <c r="A166" s="45"/>
      <c r="B166" s="45"/>
      <c r="C166" s="45"/>
      <c r="D166" s="45"/>
      <c r="E166" s="45"/>
      <c r="F166" s="45"/>
      <c r="G166" s="45"/>
      <c r="H166" s="45"/>
      <c r="I166" s="45"/>
      <c r="J166" s="45"/>
      <c r="K166" s="45"/>
      <c r="L166" s="45"/>
      <c r="M166" s="45"/>
      <c r="N166" s="45"/>
    </row>
    <row r="167" ht="22.5" customHeight="1">
      <c r="A167" s="45"/>
      <c r="B167" s="45"/>
      <c r="C167" s="45"/>
      <c r="D167" s="45"/>
      <c r="E167" s="45"/>
      <c r="F167" s="45"/>
      <c r="G167" s="45"/>
      <c r="H167" s="45"/>
      <c r="I167" s="45"/>
      <c r="J167" s="45"/>
      <c r="K167" s="45"/>
      <c r="L167" s="45"/>
      <c r="M167" s="45"/>
      <c r="N167" s="45"/>
    </row>
    <row r="168" ht="22.5" customHeight="1">
      <c r="A168" s="45"/>
      <c r="B168" s="45"/>
      <c r="C168" s="45"/>
      <c r="D168" s="45"/>
      <c r="E168" s="45"/>
      <c r="F168" s="45"/>
      <c r="G168" s="45"/>
      <c r="H168" s="45"/>
      <c r="I168" s="45"/>
      <c r="J168" s="45"/>
      <c r="K168" s="45"/>
      <c r="L168" s="45"/>
      <c r="M168" s="45"/>
      <c r="N168" s="45"/>
    </row>
    <row r="169" ht="22.5" customHeight="1">
      <c r="A169" s="45"/>
      <c r="B169" s="45"/>
      <c r="C169" s="45"/>
      <c r="D169" s="45"/>
      <c r="E169" s="45"/>
      <c r="F169" s="45"/>
      <c r="G169" s="45"/>
      <c r="H169" s="45"/>
      <c r="I169" s="45"/>
      <c r="J169" s="45"/>
      <c r="K169" s="45"/>
      <c r="L169" s="45"/>
      <c r="M169" s="45"/>
      <c r="N169" s="45"/>
    </row>
    <row r="170" ht="22.5" customHeight="1">
      <c r="A170" s="45"/>
      <c r="B170" s="45"/>
      <c r="C170" s="45"/>
      <c r="D170" s="45"/>
      <c r="E170" s="45"/>
      <c r="F170" s="45"/>
      <c r="G170" s="45"/>
      <c r="H170" s="45"/>
      <c r="I170" s="45"/>
      <c r="J170" s="45"/>
      <c r="K170" s="45"/>
      <c r="L170" s="45"/>
      <c r="M170" s="45"/>
      <c r="N170" s="45"/>
    </row>
    <row r="171" ht="22.5" customHeight="1">
      <c r="A171" s="45"/>
      <c r="B171" s="45"/>
      <c r="C171" s="45"/>
      <c r="D171" s="45"/>
      <c r="E171" s="45"/>
      <c r="F171" s="45"/>
      <c r="G171" s="45"/>
      <c r="H171" s="45"/>
      <c r="I171" s="45"/>
      <c r="J171" s="45"/>
      <c r="K171" s="45"/>
      <c r="L171" s="45"/>
      <c r="M171" s="45"/>
      <c r="N171" s="45"/>
    </row>
    <row r="172" ht="22.5" customHeight="1">
      <c r="A172" s="45"/>
      <c r="B172" s="45"/>
      <c r="C172" s="45"/>
      <c r="D172" s="45"/>
      <c r="E172" s="45"/>
      <c r="F172" s="45"/>
      <c r="G172" s="45"/>
      <c r="H172" s="45"/>
      <c r="I172" s="45"/>
      <c r="J172" s="45"/>
      <c r="K172" s="45"/>
      <c r="L172" s="45"/>
      <c r="M172" s="45"/>
      <c r="N172" s="45"/>
    </row>
    <row r="173" ht="22.5" customHeight="1">
      <c r="A173" s="45"/>
      <c r="B173" s="45"/>
      <c r="C173" s="45"/>
      <c r="D173" s="45"/>
      <c r="E173" s="45"/>
      <c r="F173" s="45"/>
      <c r="G173" s="45"/>
      <c r="H173" s="45"/>
      <c r="I173" s="45"/>
      <c r="J173" s="45"/>
      <c r="K173" s="45"/>
      <c r="L173" s="45"/>
      <c r="M173" s="45"/>
      <c r="N173" s="45"/>
    </row>
    <row r="174" ht="22.5" customHeight="1">
      <c r="A174" s="45"/>
      <c r="B174" s="45"/>
      <c r="C174" s="45"/>
      <c r="D174" s="45"/>
      <c r="E174" s="45"/>
      <c r="F174" s="45"/>
      <c r="G174" s="45"/>
      <c r="H174" s="45"/>
      <c r="I174" s="45"/>
      <c r="J174" s="45"/>
      <c r="K174" s="45"/>
      <c r="L174" s="45"/>
      <c r="M174" s="45"/>
      <c r="N174" s="45"/>
    </row>
    <row r="175" ht="22.5" customHeight="1">
      <c r="A175" s="45"/>
      <c r="B175" s="45"/>
      <c r="C175" s="45"/>
      <c r="D175" s="45"/>
      <c r="E175" s="45"/>
      <c r="F175" s="45"/>
      <c r="G175" s="45"/>
      <c r="H175" s="45"/>
      <c r="I175" s="45"/>
      <c r="J175" s="45"/>
      <c r="K175" s="45"/>
      <c r="L175" s="45"/>
      <c r="M175" s="45"/>
      <c r="N175" s="45"/>
    </row>
    <row r="176" ht="22.5" customHeight="1">
      <c r="A176" s="45"/>
      <c r="B176" s="45"/>
      <c r="C176" s="45"/>
      <c r="D176" s="45"/>
      <c r="E176" s="45"/>
      <c r="F176" s="45"/>
      <c r="G176" s="45"/>
      <c r="H176" s="45"/>
      <c r="I176" s="45"/>
      <c r="J176" s="45"/>
      <c r="K176" s="45"/>
      <c r="L176" s="45"/>
      <c r="M176" s="45"/>
      <c r="N176" s="45"/>
    </row>
    <row r="177" ht="22.5" customHeight="1">
      <c r="A177" s="45"/>
      <c r="B177" s="45"/>
      <c r="C177" s="45"/>
      <c r="D177" s="45"/>
      <c r="E177" s="45"/>
      <c r="F177" s="45"/>
      <c r="G177" s="45"/>
      <c r="H177" s="45"/>
      <c r="I177" s="45"/>
      <c r="J177" s="45"/>
      <c r="K177" s="45"/>
      <c r="L177" s="45"/>
      <c r="M177" s="45"/>
      <c r="N177" s="45"/>
    </row>
    <row r="178" ht="22.5" customHeight="1">
      <c r="A178" s="45"/>
      <c r="B178" s="45"/>
      <c r="C178" s="45"/>
      <c r="D178" s="45"/>
      <c r="E178" s="45"/>
      <c r="F178" s="45"/>
      <c r="G178" s="45"/>
      <c r="H178" s="45"/>
      <c r="I178" s="45"/>
      <c r="J178" s="45"/>
      <c r="K178" s="45"/>
      <c r="L178" s="45"/>
      <c r="M178" s="45"/>
      <c r="N178" s="45"/>
    </row>
    <row r="179" ht="22.5" customHeight="1">
      <c r="A179" s="45"/>
      <c r="B179" s="45"/>
      <c r="C179" s="45"/>
      <c r="D179" s="45"/>
      <c r="E179" s="45"/>
      <c r="F179" s="45"/>
      <c r="G179" s="45"/>
      <c r="H179" s="45"/>
      <c r="I179" s="45"/>
      <c r="J179" s="45"/>
      <c r="K179" s="45"/>
      <c r="L179" s="45"/>
      <c r="M179" s="45"/>
      <c r="N179" s="45"/>
    </row>
    <row r="180" ht="22.5" customHeight="1">
      <c r="A180" s="45"/>
      <c r="B180" s="45"/>
      <c r="C180" s="45"/>
      <c r="D180" s="45"/>
      <c r="E180" s="45"/>
      <c r="F180" s="45"/>
      <c r="G180" s="45"/>
      <c r="H180" s="45"/>
      <c r="I180" s="45"/>
      <c r="J180" s="45"/>
      <c r="K180" s="45"/>
      <c r="L180" s="45"/>
      <c r="M180" s="45"/>
      <c r="N180" s="45"/>
    </row>
    <row r="181" ht="22.5" customHeight="1">
      <c r="A181" s="45"/>
      <c r="B181" s="45"/>
      <c r="C181" s="45"/>
      <c r="D181" s="45"/>
      <c r="E181" s="45"/>
      <c r="F181" s="45"/>
      <c r="G181" s="45"/>
      <c r="H181" s="45"/>
      <c r="I181" s="45"/>
      <c r="J181" s="45"/>
      <c r="K181" s="45"/>
      <c r="L181" s="45"/>
      <c r="M181" s="45"/>
      <c r="N181" s="45"/>
    </row>
    <row r="182" ht="22.5" customHeight="1">
      <c r="A182" s="45"/>
      <c r="B182" s="45"/>
      <c r="C182" s="45"/>
      <c r="D182" s="45"/>
      <c r="E182" s="45"/>
      <c r="F182" s="45"/>
      <c r="G182" s="45"/>
      <c r="H182" s="45"/>
      <c r="I182" s="45"/>
      <c r="J182" s="45"/>
      <c r="K182" s="45"/>
      <c r="L182" s="45"/>
      <c r="M182" s="45"/>
      <c r="N182" s="45"/>
    </row>
    <row r="183" ht="22.5" customHeight="1">
      <c r="A183" s="45"/>
      <c r="B183" s="45"/>
      <c r="C183" s="45"/>
      <c r="D183" s="45"/>
      <c r="E183" s="45"/>
      <c r="F183" s="45"/>
      <c r="G183" s="45"/>
      <c r="H183" s="45"/>
      <c r="I183" s="45"/>
      <c r="J183" s="45"/>
      <c r="K183" s="45"/>
      <c r="L183" s="45"/>
      <c r="M183" s="45"/>
      <c r="N183" s="45"/>
    </row>
    <row r="184" ht="22.5" customHeight="1">
      <c r="A184" s="45"/>
      <c r="B184" s="45"/>
      <c r="C184" s="45"/>
      <c r="D184" s="45"/>
      <c r="E184" s="45"/>
      <c r="F184" s="45"/>
      <c r="G184" s="45"/>
      <c r="H184" s="45"/>
      <c r="I184" s="45"/>
      <c r="J184" s="45"/>
      <c r="K184" s="45"/>
      <c r="L184" s="45"/>
      <c r="M184" s="45"/>
      <c r="N184" s="45"/>
    </row>
    <row r="185" ht="22.5" customHeight="1">
      <c r="A185" s="45"/>
      <c r="B185" s="45"/>
      <c r="C185" s="45"/>
      <c r="D185" s="45"/>
      <c r="E185" s="45"/>
      <c r="F185" s="45"/>
      <c r="G185" s="45"/>
      <c r="H185" s="45"/>
      <c r="I185" s="45"/>
      <c r="J185" s="45"/>
      <c r="K185" s="45"/>
      <c r="L185" s="45"/>
      <c r="M185" s="45"/>
      <c r="N185" s="45"/>
    </row>
    <row r="186" ht="22.5" customHeight="1">
      <c r="A186" s="45"/>
      <c r="B186" s="45"/>
      <c r="C186" s="45"/>
      <c r="D186" s="45"/>
      <c r="E186" s="45"/>
      <c r="F186" s="45"/>
      <c r="G186" s="45"/>
      <c r="H186" s="45"/>
      <c r="I186" s="45"/>
      <c r="J186" s="45"/>
      <c r="K186" s="45"/>
      <c r="L186" s="45"/>
      <c r="M186" s="45"/>
      <c r="N186" s="45"/>
    </row>
    <row r="187" ht="22.5" customHeight="1">
      <c r="A187" s="45"/>
      <c r="B187" s="45"/>
      <c r="C187" s="45"/>
      <c r="D187" s="45"/>
      <c r="E187" s="45"/>
      <c r="F187" s="45"/>
      <c r="G187" s="45"/>
      <c r="H187" s="45"/>
      <c r="I187" s="45"/>
      <c r="J187" s="45"/>
      <c r="K187" s="45"/>
      <c r="L187" s="45"/>
      <c r="M187" s="45"/>
      <c r="N187" s="45"/>
    </row>
    <row r="188" ht="22.5" customHeight="1">
      <c r="A188" s="45"/>
      <c r="B188" s="45"/>
      <c r="C188" s="45"/>
      <c r="D188" s="45"/>
      <c r="E188" s="45"/>
      <c r="F188" s="45"/>
      <c r="G188" s="45"/>
      <c r="H188" s="45"/>
      <c r="I188" s="45"/>
      <c r="J188" s="45"/>
      <c r="K188" s="45"/>
      <c r="L188" s="45"/>
      <c r="M188" s="45"/>
      <c r="N188" s="45"/>
    </row>
    <row r="189" ht="22.5" customHeight="1">
      <c r="A189" s="45"/>
      <c r="B189" s="45"/>
      <c r="C189" s="45"/>
      <c r="D189" s="45"/>
      <c r="E189" s="45"/>
      <c r="F189" s="45"/>
      <c r="G189" s="45"/>
      <c r="H189" s="45"/>
      <c r="I189" s="45"/>
      <c r="J189" s="45"/>
      <c r="K189" s="45"/>
      <c r="L189" s="45"/>
      <c r="M189" s="45"/>
      <c r="N189" s="45"/>
    </row>
    <row r="190" ht="22.5" customHeight="1">
      <c r="A190" s="45"/>
      <c r="B190" s="45"/>
      <c r="C190" s="45"/>
      <c r="D190" s="45"/>
      <c r="E190" s="45"/>
      <c r="F190" s="45"/>
      <c r="G190" s="45"/>
      <c r="H190" s="45"/>
      <c r="I190" s="45"/>
      <c r="J190" s="45"/>
      <c r="K190" s="45"/>
      <c r="L190" s="45"/>
      <c r="M190" s="45"/>
      <c r="N190" s="45"/>
    </row>
    <row r="191" ht="22.5" customHeight="1">
      <c r="A191" s="45"/>
      <c r="B191" s="45"/>
      <c r="C191" s="45"/>
      <c r="D191" s="45"/>
      <c r="E191" s="45"/>
      <c r="F191" s="45"/>
      <c r="G191" s="45"/>
      <c r="H191" s="45"/>
      <c r="I191" s="45"/>
      <c r="J191" s="45"/>
      <c r="K191" s="45"/>
      <c r="L191" s="45"/>
      <c r="M191" s="45"/>
      <c r="N191" s="45"/>
    </row>
    <row r="192" ht="22.5" customHeight="1">
      <c r="A192" s="45"/>
      <c r="B192" s="45"/>
      <c r="C192" s="45"/>
      <c r="D192" s="45"/>
      <c r="E192" s="45"/>
      <c r="F192" s="45"/>
      <c r="G192" s="45"/>
      <c r="H192" s="45"/>
      <c r="I192" s="45"/>
      <c r="J192" s="45"/>
      <c r="K192" s="45"/>
      <c r="L192" s="45"/>
      <c r="M192" s="45"/>
      <c r="N192" s="45"/>
    </row>
    <row r="193" ht="22.5" customHeight="1">
      <c r="A193" s="45"/>
      <c r="B193" s="45"/>
      <c r="C193" s="45"/>
      <c r="D193" s="45"/>
      <c r="E193" s="45"/>
      <c r="F193" s="45"/>
      <c r="G193" s="45"/>
      <c r="H193" s="45"/>
      <c r="I193" s="45"/>
      <c r="J193" s="45"/>
      <c r="K193" s="45"/>
      <c r="L193" s="45"/>
      <c r="M193" s="45"/>
      <c r="N193" s="45"/>
    </row>
    <row r="194" ht="22.5" customHeight="1">
      <c r="A194" s="45"/>
      <c r="B194" s="45"/>
      <c r="C194" s="45"/>
      <c r="D194" s="45"/>
      <c r="E194" s="45"/>
      <c r="F194" s="45"/>
      <c r="G194" s="45"/>
      <c r="H194" s="45"/>
      <c r="I194" s="45"/>
      <c r="J194" s="45"/>
      <c r="K194" s="45"/>
      <c r="L194" s="45"/>
      <c r="M194" s="45"/>
      <c r="N194" s="45"/>
    </row>
    <row r="195" ht="22.5" customHeight="1">
      <c r="A195" s="45"/>
      <c r="B195" s="45"/>
      <c r="C195" s="45"/>
      <c r="D195" s="45"/>
      <c r="E195" s="45"/>
      <c r="F195" s="45"/>
      <c r="G195" s="45"/>
      <c r="H195" s="45"/>
      <c r="I195" s="45"/>
      <c r="J195" s="45"/>
      <c r="K195" s="45"/>
      <c r="L195" s="45"/>
      <c r="M195" s="45"/>
      <c r="N195" s="45"/>
    </row>
    <row r="196" ht="22.5" customHeight="1">
      <c r="A196" s="45"/>
      <c r="B196" s="45"/>
      <c r="C196" s="45"/>
      <c r="D196" s="45"/>
      <c r="E196" s="45"/>
      <c r="F196" s="45"/>
      <c r="G196" s="45"/>
      <c r="H196" s="45"/>
      <c r="I196" s="45"/>
      <c r="J196" s="45"/>
      <c r="K196" s="45"/>
      <c r="L196" s="45"/>
      <c r="M196" s="45"/>
      <c r="N196" s="45"/>
    </row>
    <row r="197" ht="22.5" customHeight="1">
      <c r="A197" s="45"/>
      <c r="B197" s="45"/>
      <c r="C197" s="45"/>
      <c r="D197" s="45"/>
      <c r="E197" s="45"/>
      <c r="F197" s="45"/>
      <c r="G197" s="45"/>
      <c r="H197" s="45"/>
      <c r="I197" s="45"/>
      <c r="J197" s="45"/>
      <c r="K197" s="45"/>
      <c r="L197" s="45"/>
      <c r="M197" s="45"/>
      <c r="N197" s="45"/>
    </row>
    <row r="198" ht="22.5" customHeight="1">
      <c r="A198" s="45"/>
      <c r="B198" s="45"/>
      <c r="C198" s="45"/>
      <c r="D198" s="45"/>
      <c r="E198" s="45"/>
      <c r="F198" s="45"/>
      <c r="G198" s="45"/>
      <c r="H198" s="45"/>
      <c r="I198" s="45"/>
      <c r="J198" s="45"/>
      <c r="K198" s="45"/>
      <c r="L198" s="45"/>
      <c r="M198" s="45"/>
      <c r="N198" s="45"/>
    </row>
    <row r="199" ht="22.5" customHeight="1">
      <c r="A199" s="45"/>
      <c r="B199" s="45"/>
      <c r="C199" s="45"/>
      <c r="D199" s="45"/>
      <c r="E199" s="45"/>
      <c r="F199" s="45"/>
      <c r="G199" s="45"/>
      <c r="H199" s="45"/>
      <c r="I199" s="45"/>
      <c r="J199" s="45"/>
      <c r="K199" s="45"/>
      <c r="L199" s="45"/>
      <c r="M199" s="45"/>
      <c r="N199" s="45"/>
    </row>
    <row r="200" ht="22.5" customHeight="1">
      <c r="A200" s="45"/>
      <c r="B200" s="45"/>
      <c r="C200" s="45"/>
      <c r="D200" s="45"/>
      <c r="E200" s="45"/>
      <c r="F200" s="45"/>
      <c r="G200" s="45"/>
      <c r="H200" s="45"/>
      <c r="I200" s="45"/>
      <c r="J200" s="45"/>
      <c r="K200" s="45"/>
      <c r="L200" s="45"/>
      <c r="M200" s="45"/>
      <c r="N200" s="45"/>
    </row>
    <row r="201" ht="22.5" customHeight="1">
      <c r="A201" s="45"/>
      <c r="B201" s="45"/>
      <c r="C201" s="45"/>
      <c r="D201" s="45"/>
      <c r="E201" s="45"/>
      <c r="F201" s="45"/>
      <c r="G201" s="45"/>
      <c r="H201" s="45"/>
      <c r="I201" s="45"/>
      <c r="J201" s="45"/>
      <c r="K201" s="45"/>
      <c r="L201" s="45"/>
      <c r="M201" s="45"/>
      <c r="N201" s="45"/>
    </row>
    <row r="202" ht="22.5" customHeight="1">
      <c r="A202" s="45"/>
      <c r="B202" s="45"/>
      <c r="C202" s="45"/>
      <c r="D202" s="45"/>
      <c r="E202" s="45"/>
      <c r="F202" s="45"/>
      <c r="G202" s="45"/>
      <c r="H202" s="45"/>
      <c r="I202" s="45"/>
      <c r="J202" s="45"/>
      <c r="K202" s="45"/>
      <c r="L202" s="45"/>
      <c r="M202" s="45"/>
      <c r="N202" s="45"/>
    </row>
    <row r="203" ht="22.5" customHeight="1">
      <c r="A203" s="45"/>
      <c r="B203" s="45"/>
      <c r="C203" s="45"/>
      <c r="D203" s="45"/>
      <c r="E203" s="45"/>
      <c r="F203" s="45"/>
      <c r="G203" s="45"/>
      <c r="H203" s="45"/>
      <c r="I203" s="45"/>
      <c r="J203" s="45"/>
      <c r="K203" s="45"/>
      <c r="L203" s="45"/>
      <c r="M203" s="45"/>
      <c r="N203" s="45"/>
    </row>
    <row r="204" ht="22.5" customHeight="1">
      <c r="A204" s="45"/>
      <c r="B204" s="45"/>
      <c r="C204" s="45"/>
      <c r="D204" s="45"/>
      <c r="E204" s="45"/>
      <c r="F204" s="45"/>
      <c r="G204" s="45"/>
      <c r="H204" s="45"/>
      <c r="I204" s="45"/>
      <c r="J204" s="45"/>
      <c r="K204" s="45"/>
      <c r="L204" s="45"/>
      <c r="M204" s="45"/>
      <c r="N204" s="45"/>
    </row>
    <row r="205" ht="22.5" customHeight="1">
      <c r="A205" s="45"/>
      <c r="B205" s="45"/>
      <c r="C205" s="45"/>
      <c r="D205" s="45"/>
      <c r="E205" s="45"/>
      <c r="F205" s="45"/>
      <c r="G205" s="45"/>
      <c r="H205" s="45"/>
      <c r="I205" s="45"/>
      <c r="J205" s="45"/>
      <c r="K205" s="45"/>
      <c r="L205" s="45"/>
      <c r="M205" s="45"/>
      <c r="N205" s="45"/>
    </row>
    <row r="206" ht="22.5" customHeight="1">
      <c r="A206" s="45"/>
      <c r="B206" s="45"/>
      <c r="C206" s="45"/>
      <c r="D206" s="45"/>
      <c r="E206" s="45"/>
      <c r="F206" s="45"/>
      <c r="G206" s="45"/>
      <c r="H206" s="45"/>
      <c r="I206" s="45"/>
      <c r="J206" s="45"/>
      <c r="K206" s="45"/>
      <c r="L206" s="45"/>
      <c r="M206" s="45"/>
      <c r="N206" s="45"/>
    </row>
    <row r="207" ht="22.5" customHeight="1">
      <c r="A207" s="45"/>
      <c r="B207" s="45"/>
      <c r="C207" s="45"/>
      <c r="D207" s="45"/>
      <c r="E207" s="45"/>
      <c r="F207" s="45"/>
      <c r="G207" s="45"/>
      <c r="H207" s="45"/>
      <c r="I207" s="45"/>
      <c r="J207" s="45"/>
      <c r="K207" s="45"/>
      <c r="L207" s="45"/>
      <c r="M207" s="45"/>
      <c r="N207" s="45"/>
    </row>
    <row r="208" ht="22.5" customHeight="1">
      <c r="A208" s="45"/>
      <c r="B208" s="45"/>
      <c r="C208" s="45"/>
      <c r="D208" s="45"/>
      <c r="E208" s="45"/>
      <c r="F208" s="45"/>
      <c r="G208" s="45"/>
      <c r="H208" s="45"/>
      <c r="I208" s="45"/>
      <c r="J208" s="45"/>
      <c r="K208" s="45"/>
      <c r="L208" s="45"/>
      <c r="M208" s="45"/>
      <c r="N208" s="45"/>
    </row>
    <row r="209" ht="22.5" customHeight="1">
      <c r="A209" s="45"/>
      <c r="B209" s="45"/>
      <c r="C209" s="45"/>
      <c r="D209" s="45"/>
      <c r="E209" s="45"/>
      <c r="F209" s="45"/>
      <c r="G209" s="45"/>
      <c r="H209" s="45"/>
      <c r="I209" s="45"/>
      <c r="J209" s="45"/>
      <c r="K209" s="45"/>
      <c r="L209" s="45"/>
      <c r="M209" s="45"/>
      <c r="N209" s="45"/>
    </row>
    <row r="210" ht="22.5" customHeight="1">
      <c r="A210" s="45"/>
      <c r="B210" s="45"/>
      <c r="C210" s="45"/>
      <c r="D210" s="45"/>
      <c r="E210" s="45"/>
      <c r="F210" s="45"/>
      <c r="G210" s="45"/>
      <c r="H210" s="45"/>
      <c r="I210" s="45"/>
      <c r="J210" s="45"/>
      <c r="K210" s="45"/>
      <c r="L210" s="45"/>
      <c r="M210" s="45"/>
      <c r="N210" s="45"/>
    </row>
    <row r="211" ht="22.5" customHeight="1">
      <c r="A211" s="45"/>
      <c r="B211" s="45"/>
      <c r="C211" s="45"/>
      <c r="D211" s="45"/>
      <c r="E211" s="45"/>
      <c r="F211" s="45"/>
      <c r="G211" s="45"/>
      <c r="H211" s="45"/>
      <c r="I211" s="45"/>
      <c r="J211" s="45"/>
      <c r="K211" s="45"/>
      <c r="L211" s="45"/>
      <c r="M211" s="45"/>
      <c r="N211" s="45"/>
    </row>
    <row r="212" ht="22.5" customHeight="1">
      <c r="A212" s="45"/>
      <c r="B212" s="45"/>
      <c r="C212" s="45"/>
      <c r="D212" s="45"/>
      <c r="E212" s="45"/>
      <c r="F212" s="45"/>
      <c r="G212" s="45"/>
      <c r="H212" s="45"/>
      <c r="I212" s="45"/>
      <c r="J212" s="45"/>
      <c r="K212" s="45"/>
      <c r="L212" s="45"/>
      <c r="M212" s="45"/>
      <c r="N212" s="45"/>
    </row>
    <row r="213" ht="22.5" customHeight="1">
      <c r="A213" s="45"/>
      <c r="B213" s="45"/>
      <c r="C213" s="45"/>
      <c r="D213" s="45"/>
      <c r="E213" s="45"/>
      <c r="F213" s="45"/>
      <c r="G213" s="45"/>
      <c r="H213" s="45"/>
      <c r="I213" s="45"/>
      <c r="J213" s="45"/>
      <c r="K213" s="45"/>
      <c r="L213" s="45"/>
      <c r="M213" s="45"/>
      <c r="N213" s="45"/>
    </row>
    <row r="214" ht="22.5" customHeight="1">
      <c r="A214" s="45"/>
      <c r="B214" s="45"/>
      <c r="C214" s="45"/>
      <c r="D214" s="45"/>
      <c r="E214" s="45"/>
      <c r="F214" s="45"/>
      <c r="G214" s="45"/>
      <c r="H214" s="45"/>
      <c r="I214" s="45"/>
      <c r="J214" s="45"/>
      <c r="K214" s="45"/>
      <c r="L214" s="45"/>
      <c r="M214" s="45"/>
      <c r="N214" s="45"/>
    </row>
    <row r="215" ht="22.5" customHeight="1">
      <c r="A215" s="45"/>
      <c r="B215" s="45"/>
      <c r="C215" s="45"/>
      <c r="D215" s="45"/>
      <c r="E215" s="45"/>
      <c r="F215" s="45"/>
      <c r="G215" s="45"/>
      <c r="H215" s="45"/>
      <c r="I215" s="45"/>
      <c r="J215" s="45"/>
      <c r="K215" s="45"/>
      <c r="L215" s="45"/>
      <c r="M215" s="45"/>
      <c r="N215" s="45"/>
    </row>
    <row r="216" ht="22.5" customHeight="1">
      <c r="A216" s="45"/>
      <c r="B216" s="45"/>
      <c r="C216" s="45"/>
      <c r="D216" s="45"/>
      <c r="E216" s="45"/>
      <c r="F216" s="45"/>
      <c r="G216" s="45"/>
      <c r="H216" s="45"/>
      <c r="I216" s="45"/>
      <c r="J216" s="45"/>
      <c r="K216" s="45"/>
      <c r="L216" s="45"/>
      <c r="M216" s="45"/>
      <c r="N216" s="45"/>
    </row>
    <row r="217" ht="22.5" customHeight="1">
      <c r="A217" s="45"/>
      <c r="B217" s="45"/>
      <c r="C217" s="45"/>
      <c r="D217" s="45"/>
      <c r="E217" s="45"/>
      <c r="F217" s="45"/>
      <c r="G217" s="45"/>
      <c r="H217" s="45"/>
      <c r="I217" s="45"/>
      <c r="J217" s="45"/>
      <c r="K217" s="45"/>
      <c r="L217" s="45"/>
      <c r="M217" s="45"/>
      <c r="N217" s="45"/>
    </row>
    <row r="218" ht="22.5" customHeight="1">
      <c r="A218" s="45"/>
      <c r="B218" s="45"/>
      <c r="C218" s="45"/>
      <c r="D218" s="45"/>
      <c r="E218" s="45"/>
      <c r="F218" s="45"/>
      <c r="G218" s="45"/>
      <c r="H218" s="45"/>
      <c r="I218" s="45"/>
      <c r="J218" s="45"/>
      <c r="K218" s="45"/>
      <c r="L218" s="45"/>
      <c r="M218" s="45"/>
      <c r="N218" s="45"/>
    </row>
    <row r="219" ht="22.5" customHeight="1">
      <c r="A219" s="45"/>
      <c r="B219" s="45"/>
      <c r="C219" s="45"/>
      <c r="D219" s="45"/>
      <c r="E219" s="45"/>
      <c r="F219" s="45"/>
      <c r="G219" s="45"/>
      <c r="H219" s="45"/>
      <c r="I219" s="45"/>
      <c r="J219" s="45"/>
      <c r="K219" s="45"/>
      <c r="L219" s="45"/>
      <c r="M219" s="45"/>
      <c r="N219" s="45"/>
    </row>
    <row r="220" ht="22.5" customHeight="1">
      <c r="A220" s="45"/>
      <c r="B220" s="45"/>
      <c r="C220" s="45"/>
      <c r="D220" s="45"/>
      <c r="E220" s="45"/>
      <c r="F220" s="45"/>
      <c r="G220" s="45"/>
      <c r="H220" s="45"/>
      <c r="I220" s="45"/>
      <c r="J220" s="45"/>
      <c r="K220" s="45"/>
      <c r="L220" s="45"/>
      <c r="M220" s="45"/>
      <c r="N220" s="45"/>
    </row>
    <row r="221" ht="22.5" customHeight="1">
      <c r="A221" s="45"/>
      <c r="B221" s="45"/>
      <c r="C221" s="45"/>
      <c r="D221" s="45"/>
      <c r="E221" s="45"/>
      <c r="F221" s="45"/>
      <c r="G221" s="45"/>
      <c r="H221" s="45"/>
      <c r="I221" s="45"/>
      <c r="J221" s="45"/>
      <c r="K221" s="45"/>
      <c r="L221" s="45"/>
      <c r="M221" s="45"/>
      <c r="N221" s="45"/>
    </row>
    <row r="222" ht="22.5" customHeight="1">
      <c r="A222" s="45"/>
      <c r="B222" s="45"/>
      <c r="C222" s="45"/>
      <c r="D222" s="45"/>
      <c r="E222" s="45"/>
      <c r="F222" s="45"/>
      <c r="G222" s="45"/>
      <c r="H222" s="45"/>
      <c r="I222" s="45"/>
      <c r="J222" s="45"/>
      <c r="K222" s="45"/>
      <c r="L222" s="45"/>
      <c r="M222" s="45"/>
      <c r="N222" s="45"/>
    </row>
    <row r="223" ht="22.5" customHeight="1">
      <c r="A223" s="45"/>
      <c r="B223" s="45"/>
      <c r="C223" s="45"/>
      <c r="D223" s="45"/>
      <c r="E223" s="45"/>
      <c r="F223" s="45"/>
      <c r="G223" s="45"/>
      <c r="H223" s="45"/>
      <c r="I223" s="45"/>
      <c r="J223" s="45"/>
      <c r="K223" s="45"/>
      <c r="L223" s="45"/>
      <c r="M223" s="45"/>
      <c r="N223" s="45"/>
    </row>
    <row r="224" ht="22.5" customHeight="1">
      <c r="A224" s="45"/>
      <c r="B224" s="45"/>
      <c r="C224" s="45"/>
      <c r="D224" s="45"/>
      <c r="E224" s="45"/>
      <c r="F224" s="45"/>
      <c r="G224" s="45"/>
      <c r="H224" s="45"/>
      <c r="I224" s="45"/>
      <c r="J224" s="45"/>
      <c r="K224" s="45"/>
      <c r="L224" s="45"/>
      <c r="M224" s="45"/>
      <c r="N224" s="45"/>
    </row>
    <row r="225" ht="22.5" customHeight="1">
      <c r="A225" s="45"/>
      <c r="B225" s="45"/>
      <c r="C225" s="45"/>
      <c r="D225" s="45"/>
      <c r="E225" s="45"/>
      <c r="F225" s="45"/>
      <c r="G225" s="45"/>
      <c r="H225" s="45"/>
      <c r="I225" s="45"/>
      <c r="J225" s="45"/>
      <c r="K225" s="45"/>
      <c r="L225" s="45"/>
      <c r="M225" s="45"/>
      <c r="N225" s="45"/>
    </row>
    <row r="226" ht="22.5" customHeight="1">
      <c r="A226" s="45"/>
      <c r="B226" s="45"/>
      <c r="C226" s="45"/>
      <c r="D226" s="45"/>
      <c r="E226" s="45"/>
      <c r="F226" s="45"/>
      <c r="G226" s="45"/>
      <c r="H226" s="45"/>
      <c r="I226" s="45"/>
      <c r="J226" s="45"/>
      <c r="K226" s="45"/>
      <c r="L226" s="45"/>
      <c r="M226" s="45"/>
      <c r="N226" s="45"/>
    </row>
    <row r="227" ht="22.5" customHeight="1">
      <c r="A227" s="45"/>
      <c r="B227" s="45"/>
      <c r="C227" s="45"/>
      <c r="D227" s="45"/>
      <c r="E227" s="45"/>
      <c r="F227" s="45"/>
      <c r="G227" s="45"/>
      <c r="H227" s="45"/>
      <c r="I227" s="45"/>
      <c r="J227" s="45"/>
      <c r="K227" s="45"/>
      <c r="L227" s="45"/>
      <c r="M227" s="45"/>
      <c r="N227" s="45"/>
    </row>
    <row r="228" ht="22.5" customHeight="1">
      <c r="A228" s="45"/>
      <c r="B228" s="45"/>
      <c r="C228" s="45"/>
      <c r="D228" s="45"/>
      <c r="E228" s="45"/>
      <c r="F228" s="45"/>
      <c r="G228" s="45"/>
      <c r="H228" s="45"/>
      <c r="I228" s="45"/>
      <c r="J228" s="45"/>
      <c r="K228" s="45"/>
      <c r="L228" s="45"/>
      <c r="M228" s="45"/>
      <c r="N228" s="45"/>
    </row>
    <row r="229" ht="22.5" customHeight="1">
      <c r="A229" s="45"/>
      <c r="B229" s="45"/>
      <c r="C229" s="45"/>
      <c r="D229" s="45"/>
      <c r="E229" s="45"/>
      <c r="F229" s="45"/>
      <c r="G229" s="45"/>
      <c r="H229" s="45"/>
      <c r="I229" s="45"/>
      <c r="J229" s="45"/>
      <c r="K229" s="45"/>
      <c r="L229" s="45"/>
      <c r="M229" s="45"/>
      <c r="N229" s="45"/>
    </row>
    <row r="230" ht="22.5" customHeight="1">
      <c r="A230" s="45"/>
      <c r="B230" s="45"/>
      <c r="C230" s="45"/>
      <c r="D230" s="45"/>
      <c r="E230" s="45"/>
      <c r="F230" s="45"/>
      <c r="G230" s="45"/>
      <c r="H230" s="45"/>
      <c r="I230" s="45"/>
      <c r="J230" s="45"/>
      <c r="K230" s="45"/>
      <c r="L230" s="45"/>
      <c r="M230" s="45"/>
      <c r="N230" s="45"/>
    </row>
    <row r="231" ht="22.5" customHeight="1">
      <c r="A231" s="45"/>
      <c r="B231" s="45"/>
      <c r="C231" s="45"/>
      <c r="D231" s="45"/>
      <c r="E231" s="45"/>
      <c r="F231" s="45"/>
      <c r="G231" s="45"/>
      <c r="H231" s="45"/>
      <c r="I231" s="45"/>
      <c r="J231" s="45"/>
      <c r="K231" s="45"/>
      <c r="L231" s="45"/>
      <c r="M231" s="45"/>
      <c r="N231" s="45"/>
    </row>
    <row r="232" ht="22.5" customHeight="1">
      <c r="A232" s="45"/>
      <c r="B232" s="45"/>
      <c r="C232" s="45"/>
      <c r="D232" s="45"/>
      <c r="E232" s="45"/>
      <c r="F232" s="45"/>
      <c r="G232" s="45"/>
      <c r="H232" s="45"/>
      <c r="I232" s="45"/>
      <c r="J232" s="45"/>
      <c r="K232" s="45"/>
      <c r="L232" s="45"/>
      <c r="M232" s="45"/>
      <c r="N232" s="45"/>
    </row>
    <row r="233" ht="22.5" customHeight="1">
      <c r="A233" s="45"/>
      <c r="B233" s="45"/>
      <c r="C233" s="45"/>
      <c r="D233" s="45"/>
      <c r="E233" s="45"/>
      <c r="F233" s="45"/>
      <c r="G233" s="45"/>
      <c r="H233" s="45"/>
      <c r="I233" s="45"/>
      <c r="J233" s="45"/>
      <c r="K233" s="45"/>
      <c r="L233" s="45"/>
      <c r="M233" s="45"/>
      <c r="N233" s="45"/>
    </row>
    <row r="234" ht="22.5" customHeight="1">
      <c r="A234" s="45"/>
      <c r="B234" s="45"/>
      <c r="C234" s="45"/>
      <c r="D234" s="45"/>
      <c r="E234" s="45"/>
      <c r="F234" s="45"/>
      <c r="G234" s="45"/>
      <c r="H234" s="45"/>
      <c r="I234" s="45"/>
      <c r="J234" s="45"/>
      <c r="K234" s="45"/>
      <c r="L234" s="45"/>
      <c r="M234" s="45"/>
      <c r="N234" s="45"/>
    </row>
    <row r="235" ht="22.5" customHeight="1">
      <c r="A235" s="45"/>
      <c r="B235" s="45"/>
      <c r="C235" s="45"/>
      <c r="D235" s="45"/>
      <c r="E235" s="45"/>
      <c r="F235" s="45"/>
      <c r="G235" s="45"/>
      <c r="H235" s="45"/>
      <c r="I235" s="45"/>
      <c r="J235" s="45"/>
      <c r="K235" s="45"/>
      <c r="L235" s="45"/>
      <c r="M235" s="45"/>
      <c r="N235" s="45"/>
    </row>
    <row r="236" ht="22.5" customHeight="1">
      <c r="A236" s="45"/>
      <c r="B236" s="45"/>
      <c r="C236" s="45"/>
      <c r="D236" s="45"/>
      <c r="E236" s="45"/>
      <c r="F236" s="45"/>
      <c r="G236" s="45"/>
      <c r="H236" s="45"/>
      <c r="I236" s="45"/>
      <c r="J236" s="45"/>
      <c r="K236" s="45"/>
      <c r="L236" s="45"/>
      <c r="M236" s="45"/>
      <c r="N236" s="45"/>
    </row>
    <row r="237" ht="22.5" customHeight="1">
      <c r="A237" s="45"/>
      <c r="B237" s="45"/>
      <c r="C237" s="45"/>
      <c r="D237" s="45"/>
      <c r="E237" s="45"/>
      <c r="F237" s="45"/>
      <c r="G237" s="45"/>
      <c r="H237" s="45"/>
      <c r="I237" s="45"/>
      <c r="J237" s="45"/>
      <c r="K237" s="45"/>
      <c r="L237" s="45"/>
      <c r="M237" s="45"/>
      <c r="N237" s="45"/>
    </row>
    <row r="238" ht="22.5" customHeight="1">
      <c r="A238" s="45"/>
      <c r="B238" s="45"/>
      <c r="C238" s="45"/>
      <c r="D238" s="45"/>
      <c r="E238" s="45"/>
      <c r="F238" s="45"/>
      <c r="G238" s="45"/>
      <c r="H238" s="45"/>
      <c r="I238" s="45"/>
      <c r="J238" s="45"/>
      <c r="K238" s="45"/>
      <c r="L238" s="45"/>
      <c r="M238" s="45"/>
      <c r="N238" s="45"/>
    </row>
    <row r="239" ht="22.5" customHeight="1">
      <c r="A239" s="45"/>
      <c r="B239" s="45"/>
      <c r="C239" s="45"/>
      <c r="D239" s="45"/>
      <c r="E239" s="45"/>
      <c r="F239" s="45"/>
      <c r="G239" s="45"/>
      <c r="H239" s="45"/>
      <c r="I239" s="45"/>
      <c r="J239" s="45"/>
      <c r="K239" s="45"/>
      <c r="L239" s="45"/>
      <c r="M239" s="45"/>
      <c r="N239" s="45"/>
    </row>
    <row r="240" ht="22.5" customHeight="1">
      <c r="A240" s="45"/>
      <c r="B240" s="45"/>
      <c r="C240" s="45"/>
      <c r="D240" s="45"/>
      <c r="E240" s="45"/>
      <c r="F240" s="45"/>
      <c r="G240" s="45"/>
      <c r="H240" s="45"/>
      <c r="I240" s="45"/>
      <c r="J240" s="45"/>
      <c r="K240" s="45"/>
      <c r="L240" s="45"/>
      <c r="M240" s="45"/>
      <c r="N240" s="45"/>
    </row>
    <row r="241" ht="22.5" customHeight="1">
      <c r="A241" s="45"/>
      <c r="B241" s="45"/>
      <c r="C241" s="45"/>
      <c r="D241" s="45"/>
      <c r="E241" s="45"/>
      <c r="F241" s="45"/>
      <c r="G241" s="45"/>
      <c r="H241" s="45"/>
      <c r="I241" s="45"/>
      <c r="J241" s="45"/>
      <c r="K241" s="45"/>
      <c r="L241" s="45"/>
      <c r="M241" s="45"/>
      <c r="N241" s="45"/>
    </row>
    <row r="242" ht="22.5" customHeight="1">
      <c r="A242" s="45"/>
      <c r="B242" s="45"/>
      <c r="C242" s="45"/>
      <c r="D242" s="45"/>
      <c r="E242" s="45"/>
      <c r="F242" s="45"/>
      <c r="G242" s="45"/>
      <c r="H242" s="45"/>
      <c r="I242" s="45"/>
      <c r="J242" s="45"/>
      <c r="K242" s="45"/>
      <c r="L242" s="45"/>
      <c r="M242" s="45"/>
      <c r="N242" s="45"/>
    </row>
    <row r="243" ht="22.5" customHeight="1">
      <c r="A243" s="45"/>
      <c r="B243" s="45"/>
      <c r="C243" s="45"/>
      <c r="D243" s="45"/>
      <c r="E243" s="45"/>
      <c r="F243" s="45"/>
      <c r="G243" s="45"/>
      <c r="H243" s="45"/>
      <c r="I243" s="45"/>
      <c r="J243" s="45"/>
      <c r="K243" s="45"/>
      <c r="L243" s="45"/>
      <c r="M243" s="45"/>
      <c r="N243" s="45"/>
    </row>
    <row r="244" ht="22.5" customHeight="1">
      <c r="A244" s="45"/>
      <c r="B244" s="45"/>
      <c r="C244" s="45"/>
      <c r="D244" s="45"/>
      <c r="E244" s="45"/>
      <c r="F244" s="45"/>
      <c r="G244" s="45"/>
      <c r="H244" s="45"/>
      <c r="I244" s="45"/>
      <c r="J244" s="45"/>
      <c r="K244" s="45"/>
      <c r="L244" s="45"/>
      <c r="M244" s="45"/>
      <c r="N244" s="45"/>
    </row>
    <row r="245" ht="22.5" customHeight="1">
      <c r="A245" s="45"/>
      <c r="B245" s="45"/>
      <c r="C245" s="45"/>
      <c r="D245" s="45"/>
      <c r="E245" s="45"/>
      <c r="F245" s="45"/>
      <c r="G245" s="45"/>
      <c r="H245" s="45"/>
      <c r="I245" s="45"/>
      <c r="J245" s="45"/>
      <c r="K245" s="45"/>
      <c r="L245" s="45"/>
      <c r="M245" s="45"/>
      <c r="N245" s="45"/>
    </row>
    <row r="246" ht="22.5" customHeight="1">
      <c r="A246" s="45"/>
      <c r="B246" s="45"/>
      <c r="C246" s="45"/>
      <c r="D246" s="45"/>
      <c r="E246" s="45"/>
      <c r="F246" s="45"/>
      <c r="G246" s="45"/>
      <c r="H246" s="45"/>
      <c r="I246" s="45"/>
      <c r="J246" s="45"/>
      <c r="K246" s="45"/>
      <c r="L246" s="45"/>
      <c r="M246" s="45"/>
      <c r="N246" s="45"/>
    </row>
    <row r="247" ht="22.5" customHeight="1">
      <c r="A247" s="45"/>
      <c r="B247" s="45"/>
      <c r="C247" s="45"/>
      <c r="D247" s="45"/>
      <c r="E247" s="45"/>
      <c r="F247" s="45"/>
      <c r="G247" s="45"/>
      <c r="H247" s="45"/>
      <c r="I247" s="45"/>
      <c r="J247" s="45"/>
      <c r="K247" s="45"/>
      <c r="L247" s="45"/>
      <c r="M247" s="45"/>
      <c r="N247" s="45"/>
    </row>
    <row r="248" ht="22.5" customHeight="1">
      <c r="A248" s="45"/>
      <c r="B248" s="45"/>
      <c r="C248" s="45"/>
      <c r="D248" s="45"/>
      <c r="E248" s="45"/>
      <c r="F248" s="45"/>
      <c r="G248" s="45"/>
      <c r="H248" s="45"/>
      <c r="I248" s="45"/>
      <c r="J248" s="45"/>
      <c r="K248" s="45"/>
      <c r="L248" s="45"/>
      <c r="M248" s="45"/>
      <c r="N248" s="45"/>
    </row>
    <row r="249" ht="22.5" customHeight="1">
      <c r="A249" s="45"/>
      <c r="B249" s="45"/>
      <c r="C249" s="45"/>
      <c r="D249" s="45"/>
      <c r="E249" s="45"/>
      <c r="F249" s="45"/>
      <c r="G249" s="45"/>
      <c r="H249" s="45"/>
      <c r="I249" s="45"/>
      <c r="J249" s="45"/>
      <c r="K249" s="45"/>
      <c r="L249" s="45"/>
      <c r="M249" s="45"/>
      <c r="N249" s="45"/>
    </row>
    <row r="250" ht="22.5" customHeight="1">
      <c r="A250" s="45"/>
      <c r="B250" s="45"/>
      <c r="C250" s="45"/>
      <c r="D250" s="45"/>
      <c r="E250" s="45"/>
      <c r="F250" s="45"/>
      <c r="G250" s="45"/>
      <c r="H250" s="45"/>
      <c r="I250" s="45"/>
      <c r="J250" s="45"/>
      <c r="K250" s="45"/>
      <c r="L250" s="45"/>
      <c r="M250" s="45"/>
      <c r="N250" s="45"/>
    </row>
    <row r="251" ht="22.5" customHeight="1">
      <c r="A251" s="45"/>
      <c r="B251" s="45"/>
      <c r="C251" s="45"/>
      <c r="D251" s="45"/>
      <c r="E251" s="45"/>
      <c r="F251" s="45"/>
      <c r="G251" s="45"/>
      <c r="H251" s="45"/>
      <c r="I251" s="45"/>
      <c r="J251" s="45"/>
      <c r="K251" s="45"/>
      <c r="L251" s="45"/>
      <c r="M251" s="45"/>
      <c r="N251" s="45"/>
    </row>
    <row r="252" ht="22.5" customHeight="1">
      <c r="A252" s="45"/>
      <c r="B252" s="45"/>
      <c r="C252" s="45"/>
      <c r="D252" s="45"/>
      <c r="E252" s="45"/>
      <c r="F252" s="45"/>
      <c r="G252" s="45"/>
      <c r="H252" s="45"/>
      <c r="I252" s="45"/>
      <c r="J252" s="45"/>
      <c r="K252" s="45"/>
      <c r="L252" s="45"/>
      <c r="M252" s="45"/>
      <c r="N252" s="45"/>
    </row>
    <row r="253" ht="22.5" customHeight="1">
      <c r="A253" s="45"/>
      <c r="B253" s="45"/>
      <c r="C253" s="45"/>
      <c r="D253" s="45"/>
      <c r="E253" s="45"/>
      <c r="F253" s="45"/>
      <c r="G253" s="45"/>
      <c r="H253" s="45"/>
      <c r="I253" s="45"/>
      <c r="J253" s="45"/>
      <c r="K253" s="45"/>
      <c r="L253" s="45"/>
      <c r="M253" s="45"/>
      <c r="N253" s="45"/>
    </row>
    <row r="254" ht="22.5" customHeight="1">
      <c r="A254" s="45"/>
      <c r="B254" s="45"/>
      <c r="C254" s="45"/>
      <c r="D254" s="45"/>
      <c r="E254" s="45"/>
      <c r="F254" s="45"/>
      <c r="G254" s="45"/>
      <c r="H254" s="45"/>
      <c r="I254" s="45"/>
      <c r="J254" s="45"/>
      <c r="K254" s="45"/>
      <c r="L254" s="45"/>
      <c r="M254" s="45"/>
      <c r="N254" s="45"/>
    </row>
    <row r="255" ht="22.5" customHeight="1">
      <c r="A255" s="45"/>
      <c r="B255" s="45"/>
      <c r="C255" s="45"/>
      <c r="D255" s="45"/>
      <c r="E255" s="45"/>
      <c r="F255" s="45"/>
      <c r="G255" s="45"/>
      <c r="H255" s="45"/>
      <c r="I255" s="45"/>
      <c r="J255" s="45"/>
      <c r="K255" s="45"/>
      <c r="L255" s="45"/>
      <c r="M255" s="45"/>
      <c r="N255" s="45"/>
    </row>
    <row r="256" ht="22.5" customHeight="1">
      <c r="A256" s="45"/>
      <c r="B256" s="45"/>
      <c r="C256" s="45"/>
      <c r="D256" s="45"/>
      <c r="E256" s="45"/>
      <c r="F256" s="45"/>
      <c r="G256" s="45"/>
      <c r="H256" s="45"/>
      <c r="I256" s="45"/>
      <c r="J256" s="45"/>
      <c r="K256" s="45"/>
      <c r="L256" s="45"/>
      <c r="M256" s="45"/>
      <c r="N256" s="45"/>
    </row>
    <row r="257" ht="22.5" customHeight="1">
      <c r="A257" s="45"/>
      <c r="B257" s="45"/>
      <c r="C257" s="45"/>
      <c r="D257" s="45"/>
      <c r="E257" s="45"/>
      <c r="F257" s="45"/>
      <c r="G257" s="45"/>
      <c r="H257" s="45"/>
      <c r="I257" s="45"/>
      <c r="J257" s="45"/>
      <c r="K257" s="45"/>
      <c r="L257" s="45"/>
      <c r="M257" s="45"/>
      <c r="N257" s="45"/>
    </row>
    <row r="258" ht="22.5" customHeight="1">
      <c r="A258" s="45"/>
      <c r="B258" s="45"/>
      <c r="C258" s="45"/>
      <c r="D258" s="45"/>
      <c r="E258" s="45"/>
      <c r="F258" s="45"/>
      <c r="G258" s="45"/>
      <c r="H258" s="45"/>
      <c r="I258" s="45"/>
      <c r="J258" s="45"/>
      <c r="K258" s="45"/>
      <c r="L258" s="45"/>
      <c r="M258" s="45"/>
      <c r="N258" s="45"/>
    </row>
    <row r="259" ht="22.5" customHeight="1">
      <c r="A259" s="45"/>
      <c r="B259" s="45"/>
      <c r="C259" s="45"/>
      <c r="D259" s="45"/>
      <c r="E259" s="45"/>
      <c r="F259" s="45"/>
      <c r="G259" s="45"/>
      <c r="H259" s="45"/>
      <c r="I259" s="45"/>
      <c r="J259" s="45"/>
      <c r="K259" s="45"/>
      <c r="L259" s="45"/>
      <c r="M259" s="45"/>
      <c r="N259" s="45"/>
    </row>
    <row r="260" ht="22.5" customHeight="1">
      <c r="A260" s="45"/>
      <c r="B260" s="45"/>
      <c r="C260" s="45"/>
      <c r="D260" s="45"/>
      <c r="E260" s="45"/>
      <c r="F260" s="45"/>
      <c r="G260" s="45"/>
      <c r="H260" s="45"/>
      <c r="I260" s="45"/>
      <c r="J260" s="45"/>
      <c r="K260" s="45"/>
      <c r="L260" s="45"/>
      <c r="M260" s="45"/>
      <c r="N260" s="45"/>
    </row>
    <row r="261" ht="22.5" customHeight="1">
      <c r="A261" s="45"/>
      <c r="B261" s="45"/>
      <c r="C261" s="45"/>
      <c r="D261" s="45"/>
      <c r="E261" s="45"/>
      <c r="F261" s="45"/>
      <c r="G261" s="45"/>
      <c r="H261" s="45"/>
      <c r="I261" s="45"/>
      <c r="J261" s="45"/>
      <c r="K261" s="45"/>
      <c r="L261" s="45"/>
      <c r="M261" s="45"/>
      <c r="N261" s="45"/>
    </row>
    <row r="262" ht="22.5" customHeight="1">
      <c r="A262" s="45"/>
      <c r="B262" s="45"/>
      <c r="C262" s="45"/>
      <c r="D262" s="45"/>
      <c r="E262" s="45"/>
      <c r="F262" s="45"/>
      <c r="G262" s="45"/>
      <c r="H262" s="45"/>
      <c r="I262" s="45"/>
      <c r="J262" s="45"/>
      <c r="K262" s="45"/>
      <c r="L262" s="45"/>
      <c r="M262" s="45"/>
      <c r="N262" s="45"/>
    </row>
    <row r="263" ht="22.5" customHeight="1">
      <c r="A263" s="45"/>
      <c r="B263" s="45"/>
      <c r="C263" s="45"/>
      <c r="D263" s="45"/>
      <c r="E263" s="45"/>
      <c r="F263" s="45"/>
      <c r="G263" s="45"/>
      <c r="H263" s="45"/>
      <c r="I263" s="45"/>
      <c r="J263" s="45"/>
      <c r="K263" s="45"/>
      <c r="L263" s="45"/>
      <c r="M263" s="45"/>
      <c r="N263" s="45"/>
    </row>
    <row r="264" ht="22.5" customHeight="1">
      <c r="A264" s="45"/>
      <c r="B264" s="45"/>
      <c r="C264" s="45"/>
      <c r="D264" s="45"/>
      <c r="E264" s="45"/>
      <c r="F264" s="45"/>
      <c r="G264" s="45"/>
      <c r="H264" s="45"/>
      <c r="I264" s="45"/>
      <c r="J264" s="45"/>
      <c r="K264" s="45"/>
      <c r="L264" s="45"/>
      <c r="M264" s="45"/>
      <c r="N264" s="45"/>
    </row>
    <row r="265" ht="22.5" customHeight="1">
      <c r="A265" s="45"/>
      <c r="B265" s="45"/>
      <c r="C265" s="45"/>
      <c r="D265" s="45"/>
      <c r="E265" s="45"/>
      <c r="F265" s="45"/>
      <c r="G265" s="45"/>
      <c r="H265" s="45"/>
      <c r="I265" s="45"/>
      <c r="J265" s="45"/>
      <c r="K265" s="45"/>
      <c r="L265" s="45"/>
      <c r="M265" s="45"/>
      <c r="N265" s="45"/>
    </row>
    <row r="266" ht="22.5" customHeight="1">
      <c r="A266" s="45"/>
      <c r="B266" s="45"/>
      <c r="C266" s="45"/>
      <c r="D266" s="45"/>
      <c r="E266" s="45"/>
      <c r="F266" s="45"/>
      <c r="G266" s="45"/>
      <c r="H266" s="45"/>
      <c r="I266" s="45"/>
      <c r="J266" s="45"/>
      <c r="K266" s="45"/>
      <c r="L266" s="45"/>
      <c r="M266" s="45"/>
      <c r="N266" s="45"/>
    </row>
    <row r="267" ht="22.5" customHeight="1">
      <c r="A267" s="45"/>
      <c r="B267" s="45"/>
      <c r="C267" s="45"/>
      <c r="D267" s="45"/>
      <c r="E267" s="45"/>
      <c r="F267" s="45"/>
      <c r="G267" s="45"/>
      <c r="H267" s="45"/>
      <c r="I267" s="45"/>
      <c r="J267" s="45"/>
      <c r="K267" s="45"/>
      <c r="L267" s="45"/>
      <c r="M267" s="45"/>
      <c r="N267" s="45"/>
    </row>
    <row r="268" ht="22.5" customHeight="1">
      <c r="A268" s="45"/>
      <c r="B268" s="45"/>
      <c r="C268" s="45"/>
      <c r="D268" s="45"/>
      <c r="E268" s="45"/>
      <c r="F268" s="45"/>
      <c r="G268" s="45"/>
      <c r="H268" s="45"/>
      <c r="I268" s="45"/>
      <c r="J268" s="45"/>
      <c r="K268" s="45"/>
      <c r="L268" s="45"/>
      <c r="M268" s="45"/>
      <c r="N268" s="45"/>
    </row>
    <row r="269" ht="22.5" customHeight="1">
      <c r="A269" s="45"/>
      <c r="B269" s="45"/>
      <c r="C269" s="45"/>
      <c r="D269" s="45"/>
      <c r="E269" s="45"/>
      <c r="F269" s="45"/>
      <c r="G269" s="45"/>
      <c r="H269" s="45"/>
      <c r="I269" s="45"/>
      <c r="J269" s="45"/>
      <c r="K269" s="45"/>
      <c r="L269" s="45"/>
      <c r="M269" s="45"/>
      <c r="N269" s="45"/>
    </row>
    <row r="270" ht="22.5" customHeight="1">
      <c r="A270" s="45"/>
      <c r="B270" s="45"/>
      <c r="C270" s="45"/>
      <c r="D270" s="45"/>
      <c r="E270" s="45"/>
      <c r="F270" s="45"/>
      <c r="G270" s="45"/>
      <c r="H270" s="45"/>
      <c r="I270" s="45"/>
      <c r="J270" s="45"/>
      <c r="K270" s="45"/>
      <c r="L270" s="45"/>
      <c r="M270" s="45"/>
      <c r="N270" s="45"/>
    </row>
    <row r="271" ht="22.5" customHeight="1">
      <c r="A271" s="45"/>
      <c r="B271" s="45"/>
      <c r="C271" s="45"/>
      <c r="D271" s="45"/>
      <c r="E271" s="45"/>
      <c r="F271" s="45"/>
      <c r="G271" s="45"/>
      <c r="H271" s="45"/>
      <c r="I271" s="45"/>
      <c r="J271" s="45"/>
      <c r="K271" s="45"/>
      <c r="L271" s="45"/>
      <c r="M271" s="45"/>
      <c r="N271" s="45"/>
    </row>
    <row r="272" ht="22.5" customHeight="1">
      <c r="A272" s="45"/>
      <c r="B272" s="45"/>
      <c r="C272" s="45"/>
      <c r="D272" s="45"/>
      <c r="E272" s="45"/>
      <c r="F272" s="45"/>
      <c r="G272" s="45"/>
      <c r="H272" s="45"/>
      <c r="I272" s="45"/>
      <c r="J272" s="45"/>
      <c r="K272" s="45"/>
      <c r="L272" s="45"/>
      <c r="M272" s="45"/>
      <c r="N272" s="45"/>
    </row>
    <row r="273" ht="22.5" customHeight="1">
      <c r="A273" s="45"/>
      <c r="B273" s="45"/>
      <c r="C273" s="45"/>
      <c r="D273" s="45"/>
      <c r="E273" s="45"/>
      <c r="F273" s="45"/>
      <c r="G273" s="45"/>
      <c r="H273" s="45"/>
      <c r="I273" s="45"/>
      <c r="J273" s="45"/>
      <c r="K273" s="45"/>
      <c r="L273" s="45"/>
      <c r="M273" s="45"/>
      <c r="N273" s="45"/>
    </row>
    <row r="274" ht="22.5" customHeight="1">
      <c r="A274" s="45"/>
      <c r="B274" s="45"/>
      <c r="C274" s="45"/>
      <c r="D274" s="45"/>
      <c r="E274" s="45"/>
      <c r="F274" s="45"/>
      <c r="G274" s="45"/>
      <c r="H274" s="45"/>
      <c r="I274" s="45"/>
      <c r="J274" s="45"/>
      <c r="K274" s="45"/>
      <c r="L274" s="45"/>
      <c r="M274" s="45"/>
      <c r="N274" s="45"/>
    </row>
    <row r="275" ht="22.5" customHeight="1">
      <c r="A275" s="45"/>
      <c r="B275" s="45"/>
      <c r="C275" s="45"/>
      <c r="D275" s="45"/>
      <c r="E275" s="45"/>
      <c r="F275" s="45"/>
      <c r="G275" s="45"/>
      <c r="H275" s="45"/>
      <c r="I275" s="45"/>
      <c r="J275" s="45"/>
      <c r="K275" s="45"/>
      <c r="L275" s="45"/>
      <c r="M275" s="45"/>
      <c r="N275" s="45"/>
    </row>
    <row r="276" ht="22.5" customHeight="1">
      <c r="A276" s="45"/>
      <c r="B276" s="45"/>
      <c r="C276" s="45"/>
      <c r="D276" s="45"/>
      <c r="E276" s="45"/>
      <c r="F276" s="45"/>
      <c r="G276" s="45"/>
      <c r="H276" s="45"/>
      <c r="I276" s="45"/>
      <c r="J276" s="45"/>
      <c r="K276" s="45"/>
      <c r="L276" s="45"/>
      <c r="M276" s="45"/>
      <c r="N276" s="45"/>
    </row>
    <row r="277" ht="22.5" customHeight="1">
      <c r="A277" s="45"/>
      <c r="B277" s="45"/>
      <c r="C277" s="45"/>
      <c r="D277" s="45"/>
      <c r="E277" s="45"/>
      <c r="F277" s="45"/>
      <c r="G277" s="45"/>
      <c r="H277" s="45"/>
      <c r="I277" s="45"/>
      <c r="J277" s="45"/>
      <c r="K277" s="45"/>
      <c r="L277" s="45"/>
      <c r="M277" s="45"/>
      <c r="N277" s="45"/>
    </row>
    <row r="278" ht="22.5" customHeight="1">
      <c r="A278" s="45"/>
      <c r="B278" s="45"/>
      <c r="C278" s="45"/>
      <c r="D278" s="45"/>
      <c r="E278" s="45"/>
      <c r="F278" s="45"/>
      <c r="G278" s="45"/>
      <c r="H278" s="45"/>
      <c r="I278" s="45"/>
      <c r="J278" s="45"/>
      <c r="K278" s="45"/>
      <c r="L278" s="45"/>
      <c r="M278" s="45"/>
      <c r="N278" s="45"/>
    </row>
    <row r="279" ht="22.5" customHeight="1">
      <c r="A279" s="45"/>
      <c r="B279" s="45"/>
      <c r="C279" s="45"/>
      <c r="D279" s="45"/>
      <c r="E279" s="45"/>
      <c r="F279" s="45"/>
      <c r="G279" s="45"/>
      <c r="H279" s="45"/>
      <c r="I279" s="45"/>
      <c r="J279" s="45"/>
      <c r="K279" s="45"/>
      <c r="L279" s="45"/>
      <c r="M279" s="45"/>
      <c r="N279" s="45"/>
    </row>
    <row r="280" ht="22.5" customHeight="1">
      <c r="A280" s="45"/>
      <c r="B280" s="45"/>
      <c r="C280" s="45"/>
      <c r="D280" s="45"/>
      <c r="E280" s="45"/>
      <c r="F280" s="45"/>
      <c r="G280" s="45"/>
      <c r="H280" s="45"/>
      <c r="I280" s="45"/>
      <c r="J280" s="45"/>
      <c r="K280" s="45"/>
      <c r="L280" s="45"/>
      <c r="M280" s="45"/>
      <c r="N280" s="45"/>
    </row>
    <row r="281" ht="22.5" customHeight="1">
      <c r="A281" s="45"/>
      <c r="B281" s="45"/>
      <c r="C281" s="45"/>
      <c r="D281" s="45"/>
      <c r="E281" s="45"/>
      <c r="F281" s="45"/>
      <c r="G281" s="45"/>
      <c r="H281" s="45"/>
      <c r="I281" s="45"/>
      <c r="J281" s="45"/>
      <c r="K281" s="45"/>
      <c r="L281" s="45"/>
      <c r="M281" s="45"/>
      <c r="N281" s="45"/>
    </row>
    <row r="282" ht="22.5" customHeight="1">
      <c r="A282" s="45"/>
      <c r="B282" s="45"/>
      <c r="C282" s="45"/>
      <c r="D282" s="45"/>
      <c r="E282" s="45"/>
      <c r="F282" s="45"/>
      <c r="G282" s="45"/>
      <c r="H282" s="45"/>
      <c r="I282" s="45"/>
      <c r="J282" s="45"/>
      <c r="K282" s="45"/>
      <c r="L282" s="45"/>
      <c r="M282" s="45"/>
      <c r="N282" s="45"/>
    </row>
    <row r="283" ht="22.5" customHeight="1">
      <c r="A283" s="45"/>
      <c r="B283" s="45"/>
      <c r="C283" s="45"/>
      <c r="D283" s="45"/>
      <c r="E283" s="45"/>
      <c r="F283" s="45"/>
      <c r="G283" s="45"/>
      <c r="H283" s="45"/>
      <c r="I283" s="45"/>
      <c r="J283" s="45"/>
      <c r="K283" s="45"/>
      <c r="L283" s="45"/>
      <c r="M283" s="45"/>
      <c r="N283" s="45"/>
    </row>
    <row r="284" ht="22.5" customHeight="1">
      <c r="A284" s="45"/>
      <c r="B284" s="45"/>
      <c r="C284" s="45"/>
      <c r="D284" s="45"/>
      <c r="E284" s="45"/>
      <c r="F284" s="45"/>
      <c r="G284" s="45"/>
      <c r="H284" s="45"/>
      <c r="I284" s="45"/>
      <c r="J284" s="45"/>
      <c r="K284" s="45"/>
      <c r="L284" s="45"/>
      <c r="M284" s="45"/>
      <c r="N284" s="45"/>
    </row>
    <row r="285" ht="22.5" customHeight="1">
      <c r="A285" s="45"/>
      <c r="B285" s="45"/>
      <c r="C285" s="45"/>
      <c r="D285" s="45"/>
      <c r="E285" s="45"/>
      <c r="F285" s="45"/>
      <c r="G285" s="45"/>
      <c r="H285" s="45"/>
      <c r="I285" s="45"/>
      <c r="J285" s="45"/>
      <c r="K285" s="45"/>
      <c r="L285" s="45"/>
      <c r="M285" s="45"/>
      <c r="N285" s="45"/>
    </row>
    <row r="286" ht="22.5" customHeight="1">
      <c r="A286" s="45"/>
      <c r="B286" s="45"/>
      <c r="C286" s="45"/>
      <c r="D286" s="45"/>
      <c r="E286" s="45"/>
      <c r="F286" s="45"/>
      <c r="G286" s="45"/>
      <c r="H286" s="45"/>
      <c r="I286" s="45"/>
      <c r="J286" s="45"/>
      <c r="K286" s="45"/>
      <c r="L286" s="45"/>
      <c r="M286" s="45"/>
      <c r="N286" s="45"/>
    </row>
    <row r="287" ht="22.5" customHeight="1">
      <c r="A287" s="45"/>
      <c r="B287" s="45"/>
      <c r="C287" s="45"/>
      <c r="D287" s="45"/>
      <c r="E287" s="45"/>
      <c r="F287" s="45"/>
      <c r="G287" s="45"/>
      <c r="H287" s="45"/>
      <c r="I287" s="45"/>
      <c r="J287" s="45"/>
      <c r="K287" s="45"/>
      <c r="L287" s="45"/>
      <c r="M287" s="45"/>
      <c r="N287" s="45"/>
    </row>
    <row r="288" ht="22.5" customHeight="1">
      <c r="A288" s="45"/>
      <c r="B288" s="45"/>
      <c r="C288" s="45"/>
      <c r="D288" s="45"/>
      <c r="E288" s="45"/>
      <c r="F288" s="45"/>
      <c r="G288" s="45"/>
      <c r="H288" s="45"/>
      <c r="I288" s="45"/>
      <c r="J288" s="45"/>
      <c r="K288" s="45"/>
      <c r="L288" s="45"/>
      <c r="M288" s="45"/>
      <c r="N288" s="45"/>
    </row>
    <row r="289" ht="22.5" customHeight="1">
      <c r="A289" s="45"/>
      <c r="B289" s="45"/>
      <c r="C289" s="45"/>
      <c r="D289" s="45"/>
      <c r="E289" s="45"/>
      <c r="F289" s="45"/>
      <c r="G289" s="45"/>
      <c r="H289" s="45"/>
      <c r="I289" s="45"/>
      <c r="J289" s="45"/>
      <c r="K289" s="45"/>
      <c r="L289" s="45"/>
      <c r="M289" s="45"/>
      <c r="N289" s="45"/>
    </row>
    <row r="290" ht="22.5" customHeight="1">
      <c r="A290" s="45"/>
      <c r="B290" s="45"/>
      <c r="C290" s="45"/>
      <c r="D290" s="45"/>
      <c r="E290" s="45"/>
      <c r="F290" s="45"/>
      <c r="G290" s="45"/>
      <c r="H290" s="45"/>
      <c r="I290" s="45"/>
      <c r="J290" s="45"/>
      <c r="K290" s="45"/>
      <c r="L290" s="45"/>
      <c r="M290" s="45"/>
      <c r="N290" s="45"/>
    </row>
    <row r="291" ht="22.5" customHeight="1">
      <c r="A291" s="45"/>
      <c r="B291" s="45"/>
      <c r="C291" s="45"/>
      <c r="D291" s="45"/>
      <c r="E291" s="45"/>
      <c r="F291" s="45"/>
      <c r="G291" s="45"/>
      <c r="H291" s="45"/>
      <c r="I291" s="45"/>
      <c r="J291" s="45"/>
      <c r="K291" s="45"/>
      <c r="L291" s="45"/>
      <c r="M291" s="45"/>
      <c r="N291" s="45"/>
    </row>
    <row r="292" ht="22.5" customHeight="1">
      <c r="A292" s="45"/>
      <c r="B292" s="45"/>
      <c r="C292" s="45"/>
      <c r="D292" s="45"/>
      <c r="E292" s="45"/>
      <c r="F292" s="45"/>
      <c r="G292" s="45"/>
      <c r="H292" s="45"/>
      <c r="I292" s="45"/>
      <c r="J292" s="45"/>
      <c r="K292" s="45"/>
      <c r="L292" s="45"/>
      <c r="M292" s="45"/>
      <c r="N292" s="45"/>
    </row>
    <row r="293" ht="22.5" customHeight="1">
      <c r="A293" s="45"/>
      <c r="B293" s="45"/>
      <c r="C293" s="45"/>
      <c r="D293" s="45"/>
      <c r="E293" s="45"/>
      <c r="F293" s="45"/>
      <c r="G293" s="45"/>
      <c r="H293" s="45"/>
      <c r="I293" s="45"/>
      <c r="J293" s="45"/>
      <c r="K293" s="45"/>
      <c r="L293" s="45"/>
      <c r="M293" s="45"/>
      <c r="N293" s="45"/>
    </row>
    <row r="294" ht="22.5" customHeight="1">
      <c r="A294" s="45"/>
      <c r="B294" s="45"/>
      <c r="C294" s="45"/>
      <c r="D294" s="45"/>
      <c r="E294" s="45"/>
      <c r="F294" s="45"/>
      <c r="G294" s="45"/>
      <c r="H294" s="45"/>
      <c r="I294" s="45"/>
      <c r="J294" s="45"/>
      <c r="K294" s="45"/>
      <c r="L294" s="45"/>
      <c r="M294" s="45"/>
      <c r="N294" s="45"/>
    </row>
    <row r="295" ht="22.5" customHeight="1">
      <c r="A295" s="45"/>
      <c r="B295" s="45"/>
      <c r="C295" s="45"/>
      <c r="D295" s="45"/>
      <c r="E295" s="45"/>
      <c r="F295" s="45"/>
      <c r="G295" s="45"/>
      <c r="H295" s="45"/>
      <c r="I295" s="45"/>
      <c r="J295" s="45"/>
      <c r="K295" s="45"/>
      <c r="L295" s="45"/>
      <c r="M295" s="45"/>
      <c r="N295" s="45"/>
    </row>
    <row r="296" ht="22.5" customHeight="1">
      <c r="A296" s="45"/>
      <c r="B296" s="45"/>
      <c r="C296" s="45"/>
      <c r="D296" s="45"/>
      <c r="E296" s="45"/>
      <c r="F296" s="45"/>
      <c r="G296" s="45"/>
      <c r="H296" s="45"/>
      <c r="I296" s="45"/>
      <c r="J296" s="45"/>
      <c r="K296" s="45"/>
      <c r="L296" s="45"/>
      <c r="M296" s="45"/>
      <c r="N296" s="45"/>
    </row>
    <row r="297" ht="22.5" customHeight="1">
      <c r="A297" s="45"/>
      <c r="B297" s="45"/>
      <c r="C297" s="45"/>
      <c r="D297" s="45"/>
      <c r="E297" s="45"/>
      <c r="F297" s="45"/>
      <c r="G297" s="45"/>
      <c r="H297" s="45"/>
      <c r="I297" s="45"/>
      <c r="J297" s="45"/>
      <c r="K297" s="45"/>
      <c r="L297" s="45"/>
      <c r="M297" s="45"/>
      <c r="N297" s="45"/>
    </row>
    <row r="298" ht="22.5" customHeight="1">
      <c r="A298" s="45"/>
      <c r="B298" s="45"/>
      <c r="C298" s="45"/>
      <c r="D298" s="45"/>
      <c r="E298" s="45"/>
      <c r="F298" s="45"/>
      <c r="G298" s="45"/>
      <c r="H298" s="45"/>
      <c r="I298" s="45"/>
      <c r="J298" s="45"/>
      <c r="K298" s="45"/>
      <c r="L298" s="45"/>
      <c r="M298" s="45"/>
      <c r="N298" s="45"/>
    </row>
    <row r="299" ht="22.5" customHeight="1">
      <c r="A299" s="45"/>
      <c r="B299" s="45"/>
      <c r="C299" s="45"/>
      <c r="D299" s="45"/>
      <c r="E299" s="45"/>
      <c r="F299" s="45"/>
      <c r="G299" s="45"/>
      <c r="H299" s="45"/>
      <c r="I299" s="45"/>
      <c r="J299" s="45"/>
      <c r="K299" s="45"/>
      <c r="L299" s="45"/>
      <c r="M299" s="45"/>
      <c r="N299" s="45"/>
    </row>
    <row r="300" ht="22.5" customHeight="1">
      <c r="A300" s="45"/>
      <c r="B300" s="45"/>
      <c r="C300" s="45"/>
      <c r="D300" s="45"/>
      <c r="E300" s="45"/>
      <c r="F300" s="45"/>
      <c r="G300" s="45"/>
      <c r="H300" s="45"/>
      <c r="I300" s="45"/>
      <c r="J300" s="45"/>
      <c r="K300" s="45"/>
      <c r="L300" s="45"/>
      <c r="M300" s="45"/>
      <c r="N300" s="45"/>
    </row>
    <row r="301" ht="22.5" customHeight="1">
      <c r="A301" s="45"/>
      <c r="B301" s="45"/>
      <c r="C301" s="45"/>
      <c r="D301" s="45"/>
      <c r="E301" s="45"/>
      <c r="F301" s="45"/>
      <c r="G301" s="45"/>
      <c r="H301" s="45"/>
      <c r="I301" s="45"/>
      <c r="J301" s="45"/>
      <c r="K301" s="45"/>
      <c r="L301" s="45"/>
      <c r="M301" s="45"/>
      <c r="N301" s="45"/>
    </row>
    <row r="302" ht="22.5" customHeight="1">
      <c r="A302" s="45"/>
      <c r="B302" s="45"/>
      <c r="C302" s="45"/>
      <c r="D302" s="45"/>
      <c r="E302" s="45"/>
      <c r="F302" s="45"/>
      <c r="G302" s="45"/>
      <c r="H302" s="45"/>
      <c r="I302" s="45"/>
      <c r="J302" s="45"/>
      <c r="K302" s="45"/>
      <c r="L302" s="45"/>
      <c r="M302" s="45"/>
      <c r="N302" s="45"/>
    </row>
    <row r="303" ht="22.5" customHeight="1">
      <c r="A303" s="45"/>
      <c r="B303" s="45"/>
      <c r="C303" s="45"/>
      <c r="D303" s="45"/>
      <c r="E303" s="45"/>
      <c r="F303" s="45"/>
      <c r="G303" s="45"/>
      <c r="H303" s="45"/>
      <c r="I303" s="45"/>
      <c r="J303" s="45"/>
      <c r="K303" s="45"/>
      <c r="L303" s="45"/>
      <c r="M303" s="45"/>
      <c r="N303" s="45"/>
    </row>
    <row r="304" ht="22.5" customHeight="1">
      <c r="A304" s="45"/>
      <c r="B304" s="45"/>
      <c r="C304" s="45"/>
      <c r="D304" s="45"/>
      <c r="E304" s="45"/>
      <c r="F304" s="45"/>
      <c r="G304" s="45"/>
      <c r="H304" s="45"/>
      <c r="I304" s="45"/>
      <c r="J304" s="45"/>
      <c r="K304" s="45"/>
      <c r="L304" s="45"/>
      <c r="M304" s="45"/>
      <c r="N304" s="45"/>
    </row>
    <row r="305" ht="22.5" customHeight="1">
      <c r="A305" s="45"/>
      <c r="B305" s="45"/>
      <c r="C305" s="45"/>
      <c r="D305" s="45"/>
      <c r="E305" s="45"/>
      <c r="F305" s="45"/>
      <c r="G305" s="45"/>
      <c r="H305" s="45"/>
      <c r="I305" s="45"/>
      <c r="J305" s="45"/>
      <c r="K305" s="45"/>
      <c r="L305" s="45"/>
      <c r="M305" s="45"/>
      <c r="N305" s="45"/>
    </row>
    <row r="306" ht="22.5" customHeight="1">
      <c r="A306" s="45"/>
      <c r="B306" s="45"/>
      <c r="C306" s="45"/>
      <c r="D306" s="45"/>
      <c r="E306" s="45"/>
      <c r="F306" s="45"/>
      <c r="G306" s="45"/>
      <c r="H306" s="45"/>
      <c r="I306" s="45"/>
      <c r="J306" s="45"/>
      <c r="K306" s="45"/>
      <c r="L306" s="45"/>
      <c r="M306" s="45"/>
      <c r="N306" s="45"/>
    </row>
    <row r="307" ht="22.5" customHeight="1">
      <c r="A307" s="45"/>
      <c r="B307" s="45"/>
      <c r="C307" s="45"/>
      <c r="D307" s="45"/>
      <c r="E307" s="45"/>
      <c r="F307" s="45"/>
      <c r="G307" s="45"/>
      <c r="H307" s="45"/>
      <c r="I307" s="45"/>
      <c r="J307" s="45"/>
      <c r="K307" s="45"/>
      <c r="L307" s="45"/>
      <c r="M307" s="45"/>
      <c r="N307" s="45"/>
    </row>
    <row r="308" ht="22.5" customHeight="1">
      <c r="A308" s="45"/>
      <c r="B308" s="45"/>
      <c r="C308" s="45"/>
      <c r="D308" s="45"/>
      <c r="E308" s="45"/>
      <c r="F308" s="45"/>
      <c r="G308" s="45"/>
      <c r="H308" s="45"/>
      <c r="I308" s="45"/>
      <c r="J308" s="45"/>
      <c r="K308" s="45"/>
      <c r="L308" s="45"/>
      <c r="M308" s="45"/>
      <c r="N308" s="45"/>
    </row>
    <row r="309" ht="22.5" customHeight="1">
      <c r="A309" s="45"/>
      <c r="B309" s="45"/>
      <c r="C309" s="45"/>
      <c r="D309" s="45"/>
      <c r="E309" s="45"/>
      <c r="F309" s="45"/>
      <c r="G309" s="45"/>
      <c r="H309" s="45"/>
      <c r="I309" s="45"/>
      <c r="J309" s="45"/>
      <c r="K309" s="45"/>
      <c r="L309" s="45"/>
      <c r="M309" s="45"/>
      <c r="N309" s="45"/>
    </row>
    <row r="310" ht="22.5" customHeight="1">
      <c r="A310" s="45"/>
      <c r="B310" s="45"/>
      <c r="C310" s="45"/>
      <c r="D310" s="45"/>
      <c r="E310" s="45"/>
      <c r="F310" s="45"/>
      <c r="G310" s="45"/>
      <c r="H310" s="45"/>
      <c r="I310" s="45"/>
      <c r="J310" s="45"/>
      <c r="K310" s="45"/>
      <c r="L310" s="45"/>
      <c r="M310" s="45"/>
      <c r="N310" s="45"/>
    </row>
    <row r="311" ht="22.5" customHeight="1">
      <c r="A311" s="45"/>
      <c r="B311" s="45"/>
      <c r="C311" s="45"/>
      <c r="D311" s="45"/>
      <c r="E311" s="45"/>
      <c r="F311" s="45"/>
      <c r="G311" s="45"/>
      <c r="H311" s="45"/>
      <c r="I311" s="45"/>
      <c r="J311" s="45"/>
      <c r="K311" s="45"/>
      <c r="L311" s="45"/>
      <c r="M311" s="45"/>
      <c r="N311" s="45"/>
    </row>
    <row r="312" ht="22.5" customHeight="1">
      <c r="A312" s="45"/>
      <c r="B312" s="45"/>
      <c r="C312" s="45"/>
      <c r="D312" s="45"/>
      <c r="E312" s="45"/>
      <c r="F312" s="45"/>
      <c r="G312" s="45"/>
      <c r="H312" s="45"/>
      <c r="I312" s="45"/>
      <c r="J312" s="45"/>
      <c r="K312" s="45"/>
      <c r="L312" s="45"/>
      <c r="M312" s="45"/>
      <c r="N312" s="45"/>
    </row>
    <row r="313" ht="22.5" customHeight="1">
      <c r="A313" s="45"/>
      <c r="B313" s="45"/>
      <c r="C313" s="45"/>
      <c r="D313" s="45"/>
      <c r="E313" s="45"/>
      <c r="F313" s="45"/>
      <c r="G313" s="45"/>
      <c r="H313" s="45"/>
      <c r="I313" s="45"/>
      <c r="J313" s="45"/>
      <c r="K313" s="45"/>
      <c r="L313" s="45"/>
      <c r="M313" s="45"/>
      <c r="N313" s="45"/>
    </row>
    <row r="314" ht="22.5" customHeight="1">
      <c r="A314" s="45"/>
      <c r="B314" s="45"/>
      <c r="C314" s="45"/>
      <c r="D314" s="45"/>
      <c r="E314" s="45"/>
      <c r="F314" s="45"/>
      <c r="G314" s="45"/>
      <c r="H314" s="45"/>
      <c r="I314" s="45"/>
      <c r="J314" s="45"/>
      <c r="K314" s="45"/>
      <c r="L314" s="45"/>
      <c r="M314" s="45"/>
      <c r="N314" s="45"/>
    </row>
    <row r="315" ht="22.5" customHeight="1">
      <c r="A315" s="45"/>
      <c r="B315" s="45"/>
      <c r="C315" s="45"/>
      <c r="D315" s="45"/>
      <c r="E315" s="45"/>
      <c r="F315" s="45"/>
      <c r="G315" s="45"/>
      <c r="H315" s="45"/>
      <c r="I315" s="45"/>
      <c r="J315" s="45"/>
      <c r="K315" s="45"/>
      <c r="L315" s="45"/>
      <c r="M315" s="45"/>
      <c r="N315" s="45"/>
    </row>
    <row r="316" ht="22.5" customHeight="1">
      <c r="A316" s="45"/>
      <c r="B316" s="45"/>
      <c r="C316" s="45"/>
      <c r="D316" s="45"/>
      <c r="E316" s="45"/>
      <c r="F316" s="45"/>
      <c r="G316" s="45"/>
      <c r="H316" s="45"/>
      <c r="I316" s="45"/>
      <c r="J316" s="45"/>
      <c r="K316" s="45"/>
      <c r="L316" s="45"/>
      <c r="M316" s="45"/>
      <c r="N316" s="45"/>
    </row>
    <row r="317" ht="22.5" customHeight="1">
      <c r="A317" s="45"/>
      <c r="B317" s="45"/>
      <c r="C317" s="45"/>
      <c r="D317" s="45"/>
      <c r="E317" s="45"/>
      <c r="F317" s="45"/>
      <c r="G317" s="45"/>
      <c r="H317" s="45"/>
      <c r="I317" s="45"/>
      <c r="J317" s="45"/>
      <c r="K317" s="45"/>
      <c r="L317" s="45"/>
      <c r="M317" s="45"/>
      <c r="N317" s="45"/>
    </row>
    <row r="318" ht="22.5" customHeight="1">
      <c r="A318" s="45"/>
      <c r="B318" s="45"/>
      <c r="C318" s="45"/>
      <c r="D318" s="45"/>
      <c r="E318" s="45"/>
      <c r="F318" s="45"/>
      <c r="G318" s="45"/>
      <c r="H318" s="45"/>
      <c r="I318" s="45"/>
      <c r="J318" s="45"/>
      <c r="K318" s="45"/>
      <c r="L318" s="45"/>
      <c r="M318" s="45"/>
      <c r="N318" s="45"/>
    </row>
    <row r="319" ht="22.5" customHeight="1">
      <c r="A319" s="45"/>
      <c r="B319" s="45"/>
      <c r="C319" s="45"/>
      <c r="D319" s="45"/>
      <c r="E319" s="45"/>
      <c r="F319" s="45"/>
      <c r="G319" s="45"/>
      <c r="H319" s="45"/>
      <c r="I319" s="45"/>
      <c r="J319" s="45"/>
      <c r="K319" s="45"/>
      <c r="L319" s="45"/>
      <c r="M319" s="45"/>
      <c r="N319" s="45"/>
    </row>
    <row r="320" ht="22.5" customHeight="1">
      <c r="A320" s="45"/>
      <c r="B320" s="45"/>
      <c r="C320" s="45"/>
      <c r="D320" s="45"/>
      <c r="E320" s="45"/>
      <c r="F320" s="45"/>
      <c r="G320" s="45"/>
      <c r="H320" s="45"/>
      <c r="I320" s="45"/>
      <c r="J320" s="45"/>
      <c r="K320" s="45"/>
      <c r="L320" s="45"/>
      <c r="M320" s="45"/>
      <c r="N320" s="45"/>
    </row>
    <row r="321" ht="22.5" customHeight="1">
      <c r="A321" s="45"/>
      <c r="B321" s="45"/>
      <c r="C321" s="45"/>
      <c r="D321" s="45"/>
      <c r="E321" s="45"/>
      <c r="F321" s="45"/>
      <c r="G321" s="45"/>
      <c r="H321" s="45"/>
      <c r="I321" s="45"/>
      <c r="J321" s="45"/>
      <c r="K321" s="45"/>
      <c r="L321" s="45"/>
      <c r="M321" s="45"/>
      <c r="N321" s="45"/>
    </row>
    <row r="322" ht="22.5" customHeight="1">
      <c r="A322" s="45"/>
      <c r="B322" s="45"/>
      <c r="C322" s="45"/>
      <c r="D322" s="45"/>
      <c r="E322" s="45"/>
      <c r="F322" s="45"/>
      <c r="G322" s="45"/>
      <c r="H322" s="45"/>
      <c r="I322" s="45"/>
      <c r="J322" s="45"/>
      <c r="K322" s="45"/>
      <c r="L322" s="45"/>
      <c r="M322" s="45"/>
      <c r="N322" s="45"/>
    </row>
    <row r="323" ht="22.5" customHeight="1">
      <c r="A323" s="45"/>
      <c r="B323" s="45"/>
      <c r="C323" s="45"/>
      <c r="D323" s="45"/>
      <c r="E323" s="45"/>
      <c r="F323" s="45"/>
      <c r="G323" s="45"/>
      <c r="H323" s="45"/>
      <c r="I323" s="45"/>
      <c r="J323" s="45"/>
      <c r="K323" s="45"/>
      <c r="L323" s="45"/>
      <c r="M323" s="45"/>
      <c r="N323" s="45"/>
    </row>
    <row r="324" ht="22.5" customHeight="1">
      <c r="A324" s="45"/>
      <c r="B324" s="45"/>
      <c r="C324" s="45"/>
      <c r="D324" s="45"/>
      <c r="E324" s="45"/>
      <c r="F324" s="45"/>
      <c r="G324" s="45"/>
      <c r="H324" s="45"/>
      <c r="I324" s="45"/>
      <c r="J324" s="45"/>
      <c r="K324" s="45"/>
      <c r="L324" s="45"/>
      <c r="M324" s="45"/>
      <c r="N324" s="45"/>
    </row>
    <row r="325" ht="22.5" customHeight="1">
      <c r="A325" s="45"/>
      <c r="B325" s="45"/>
      <c r="C325" s="45"/>
      <c r="D325" s="45"/>
      <c r="E325" s="45"/>
      <c r="F325" s="45"/>
      <c r="G325" s="45"/>
      <c r="H325" s="45"/>
      <c r="I325" s="45"/>
      <c r="J325" s="45"/>
      <c r="K325" s="45"/>
      <c r="L325" s="45"/>
      <c r="M325" s="45"/>
      <c r="N325" s="45"/>
    </row>
    <row r="326" ht="22.5" customHeight="1">
      <c r="A326" s="45"/>
      <c r="B326" s="45"/>
      <c r="C326" s="45"/>
      <c r="D326" s="45"/>
      <c r="E326" s="45"/>
      <c r="F326" s="45"/>
      <c r="G326" s="45"/>
      <c r="H326" s="45"/>
      <c r="I326" s="45"/>
      <c r="J326" s="45"/>
      <c r="K326" s="45"/>
      <c r="L326" s="45"/>
      <c r="M326" s="45"/>
      <c r="N326" s="45"/>
    </row>
    <row r="327" ht="22.5" customHeight="1">
      <c r="A327" s="45"/>
      <c r="B327" s="45"/>
      <c r="C327" s="45"/>
      <c r="D327" s="45"/>
      <c r="E327" s="45"/>
      <c r="F327" s="45"/>
      <c r="G327" s="45"/>
      <c r="H327" s="45"/>
      <c r="I327" s="45"/>
      <c r="J327" s="45"/>
      <c r="K327" s="45"/>
      <c r="L327" s="45"/>
      <c r="M327" s="45"/>
      <c r="N327" s="45"/>
    </row>
    <row r="328" ht="22.5" customHeight="1">
      <c r="A328" s="45"/>
      <c r="B328" s="45"/>
      <c r="C328" s="45"/>
      <c r="D328" s="45"/>
      <c r="E328" s="45"/>
      <c r="F328" s="45"/>
      <c r="G328" s="45"/>
      <c r="H328" s="45"/>
      <c r="I328" s="45"/>
      <c r="J328" s="45"/>
      <c r="K328" s="45"/>
      <c r="L328" s="45"/>
      <c r="M328" s="45"/>
      <c r="N328" s="45"/>
    </row>
    <row r="329" ht="22.5" customHeight="1">
      <c r="A329" s="45"/>
      <c r="B329" s="45"/>
      <c r="C329" s="45"/>
      <c r="D329" s="45"/>
      <c r="E329" s="45"/>
      <c r="F329" s="45"/>
      <c r="G329" s="45"/>
      <c r="H329" s="45"/>
      <c r="I329" s="45"/>
      <c r="J329" s="45"/>
      <c r="K329" s="45"/>
      <c r="L329" s="45"/>
      <c r="M329" s="45"/>
      <c r="N329" s="45"/>
    </row>
    <row r="330" ht="22.5" customHeight="1">
      <c r="A330" s="45"/>
      <c r="B330" s="45"/>
      <c r="C330" s="45"/>
      <c r="D330" s="45"/>
      <c r="E330" s="45"/>
      <c r="F330" s="45"/>
      <c r="G330" s="45"/>
      <c r="H330" s="45"/>
      <c r="I330" s="45"/>
      <c r="J330" s="45"/>
      <c r="K330" s="45"/>
      <c r="L330" s="45"/>
      <c r="M330" s="45"/>
      <c r="N330" s="45"/>
    </row>
    <row r="331" ht="22.5" customHeight="1">
      <c r="A331" s="45"/>
      <c r="B331" s="45"/>
      <c r="C331" s="45"/>
      <c r="D331" s="45"/>
      <c r="E331" s="45"/>
      <c r="F331" s="45"/>
      <c r="G331" s="45"/>
      <c r="H331" s="45"/>
      <c r="I331" s="45"/>
      <c r="J331" s="45"/>
      <c r="K331" s="45"/>
      <c r="L331" s="45"/>
      <c r="M331" s="45"/>
      <c r="N331" s="45"/>
    </row>
    <row r="332" ht="22.5" customHeight="1">
      <c r="A332" s="45"/>
      <c r="B332" s="45"/>
      <c r="C332" s="45"/>
      <c r="D332" s="45"/>
      <c r="E332" s="45"/>
      <c r="F332" s="45"/>
      <c r="G332" s="45"/>
      <c r="H332" s="45"/>
      <c r="I332" s="45"/>
      <c r="J332" s="45"/>
      <c r="K332" s="45"/>
      <c r="L332" s="45"/>
      <c r="M332" s="45"/>
      <c r="N332" s="45"/>
    </row>
    <row r="333" ht="22.5" customHeight="1">
      <c r="A333" s="45"/>
      <c r="B333" s="45"/>
      <c r="C333" s="45"/>
      <c r="D333" s="45"/>
      <c r="E333" s="45"/>
      <c r="F333" s="45"/>
      <c r="G333" s="45"/>
      <c r="H333" s="45"/>
      <c r="I333" s="45"/>
      <c r="J333" s="45"/>
      <c r="K333" s="45"/>
      <c r="L333" s="45"/>
      <c r="M333" s="45"/>
      <c r="N333" s="45"/>
    </row>
    <row r="334" ht="22.5" customHeight="1">
      <c r="A334" s="45"/>
      <c r="B334" s="45"/>
      <c r="C334" s="45"/>
      <c r="D334" s="45"/>
      <c r="E334" s="45"/>
      <c r="F334" s="45"/>
      <c r="G334" s="45"/>
      <c r="H334" s="45"/>
      <c r="I334" s="45"/>
      <c r="J334" s="45"/>
      <c r="K334" s="45"/>
      <c r="L334" s="45"/>
      <c r="M334" s="45"/>
      <c r="N334" s="45"/>
    </row>
    <row r="335" ht="22.5" customHeight="1">
      <c r="A335" s="45"/>
      <c r="B335" s="45"/>
      <c r="C335" s="45"/>
      <c r="D335" s="45"/>
      <c r="E335" s="45"/>
      <c r="F335" s="45"/>
      <c r="G335" s="45"/>
      <c r="H335" s="45"/>
      <c r="I335" s="45"/>
      <c r="J335" s="45"/>
      <c r="K335" s="45"/>
      <c r="L335" s="45"/>
      <c r="M335" s="45"/>
      <c r="N335" s="45"/>
    </row>
    <row r="336" ht="22.5" customHeight="1">
      <c r="A336" s="45"/>
      <c r="B336" s="45"/>
      <c r="C336" s="45"/>
      <c r="D336" s="45"/>
      <c r="E336" s="45"/>
      <c r="F336" s="45"/>
      <c r="G336" s="45"/>
      <c r="H336" s="45"/>
      <c r="I336" s="45"/>
      <c r="J336" s="45"/>
      <c r="K336" s="45"/>
      <c r="L336" s="45"/>
      <c r="M336" s="45"/>
      <c r="N336" s="45"/>
    </row>
    <row r="337" ht="22.5" customHeight="1">
      <c r="A337" s="45"/>
      <c r="B337" s="45"/>
      <c r="C337" s="45"/>
      <c r="D337" s="45"/>
      <c r="E337" s="45"/>
      <c r="F337" s="45"/>
      <c r="G337" s="45"/>
      <c r="H337" s="45"/>
      <c r="I337" s="45"/>
      <c r="J337" s="45"/>
      <c r="K337" s="45"/>
      <c r="L337" s="45"/>
      <c r="M337" s="45"/>
      <c r="N337" s="45"/>
    </row>
    <row r="338" ht="22.5" customHeight="1">
      <c r="A338" s="45"/>
      <c r="B338" s="45"/>
      <c r="C338" s="45"/>
      <c r="D338" s="45"/>
      <c r="E338" s="45"/>
      <c r="F338" s="45"/>
      <c r="G338" s="45"/>
      <c r="H338" s="45"/>
      <c r="I338" s="45"/>
      <c r="J338" s="45"/>
      <c r="K338" s="45"/>
      <c r="L338" s="45"/>
      <c r="M338" s="45"/>
      <c r="N338" s="45"/>
    </row>
    <row r="339" ht="22.5" customHeight="1">
      <c r="A339" s="45"/>
      <c r="B339" s="45"/>
      <c r="C339" s="45"/>
      <c r="D339" s="45"/>
      <c r="E339" s="45"/>
      <c r="F339" s="45"/>
      <c r="G339" s="45"/>
      <c r="H339" s="45"/>
      <c r="I339" s="45"/>
      <c r="J339" s="45"/>
      <c r="K339" s="45"/>
      <c r="L339" s="45"/>
      <c r="M339" s="45"/>
      <c r="N339" s="45"/>
    </row>
    <row r="340" ht="22.5" customHeight="1">
      <c r="A340" s="45"/>
      <c r="B340" s="45"/>
      <c r="C340" s="45"/>
      <c r="D340" s="45"/>
      <c r="E340" s="45"/>
      <c r="F340" s="45"/>
      <c r="G340" s="45"/>
      <c r="H340" s="45"/>
      <c r="I340" s="45"/>
      <c r="J340" s="45"/>
      <c r="K340" s="45"/>
      <c r="L340" s="45"/>
      <c r="M340" s="45"/>
      <c r="N340" s="45"/>
    </row>
    <row r="341" ht="22.5" customHeight="1">
      <c r="A341" s="45"/>
      <c r="B341" s="45"/>
      <c r="C341" s="45"/>
      <c r="D341" s="45"/>
      <c r="E341" s="45"/>
      <c r="F341" s="45"/>
      <c r="G341" s="45"/>
      <c r="H341" s="45"/>
      <c r="I341" s="45"/>
      <c r="J341" s="45"/>
      <c r="K341" s="45"/>
      <c r="L341" s="45"/>
      <c r="M341" s="45"/>
      <c r="N341" s="45"/>
    </row>
    <row r="342" ht="22.5" customHeight="1">
      <c r="A342" s="45"/>
      <c r="B342" s="45"/>
      <c r="C342" s="45"/>
      <c r="D342" s="45"/>
      <c r="E342" s="45"/>
      <c r="F342" s="45"/>
      <c r="G342" s="45"/>
      <c r="H342" s="45"/>
      <c r="I342" s="45"/>
      <c r="J342" s="45"/>
      <c r="K342" s="45"/>
      <c r="L342" s="45"/>
      <c r="M342" s="45"/>
      <c r="N342" s="45"/>
    </row>
    <row r="343" ht="22.5" customHeight="1">
      <c r="A343" s="45"/>
      <c r="B343" s="45"/>
      <c r="C343" s="45"/>
      <c r="D343" s="45"/>
      <c r="E343" s="45"/>
      <c r="F343" s="45"/>
      <c r="G343" s="45"/>
      <c r="H343" s="45"/>
      <c r="I343" s="45"/>
      <c r="J343" s="45"/>
      <c r="K343" s="45"/>
      <c r="L343" s="45"/>
      <c r="M343" s="45"/>
      <c r="N343" s="45"/>
    </row>
    <row r="344" ht="22.5" customHeight="1">
      <c r="A344" s="45"/>
      <c r="B344" s="45"/>
      <c r="C344" s="45"/>
      <c r="D344" s="45"/>
      <c r="E344" s="45"/>
      <c r="F344" s="45"/>
      <c r="G344" s="45"/>
      <c r="H344" s="45"/>
      <c r="I344" s="45"/>
      <c r="J344" s="45"/>
      <c r="K344" s="45"/>
      <c r="L344" s="45"/>
      <c r="M344" s="45"/>
      <c r="N344" s="45"/>
    </row>
    <row r="345" ht="22.5" customHeight="1">
      <c r="A345" s="45"/>
      <c r="B345" s="45"/>
      <c r="C345" s="45"/>
      <c r="D345" s="45"/>
      <c r="E345" s="45"/>
      <c r="F345" s="45"/>
      <c r="G345" s="45"/>
      <c r="H345" s="45"/>
      <c r="I345" s="45"/>
      <c r="J345" s="45"/>
      <c r="K345" s="45"/>
      <c r="L345" s="45"/>
      <c r="M345" s="45"/>
      <c r="N345" s="45"/>
    </row>
    <row r="346" ht="22.5" customHeight="1">
      <c r="A346" s="45"/>
      <c r="B346" s="45"/>
      <c r="C346" s="45"/>
      <c r="D346" s="45"/>
      <c r="E346" s="45"/>
      <c r="F346" s="45"/>
      <c r="G346" s="45"/>
      <c r="H346" s="45"/>
      <c r="I346" s="45"/>
      <c r="J346" s="45"/>
      <c r="K346" s="45"/>
      <c r="L346" s="45"/>
      <c r="M346" s="45"/>
      <c r="N346" s="45"/>
    </row>
    <row r="347" ht="22.5" customHeight="1">
      <c r="A347" s="45"/>
      <c r="B347" s="45"/>
      <c r="C347" s="45"/>
      <c r="D347" s="45"/>
      <c r="E347" s="45"/>
      <c r="F347" s="45"/>
      <c r="G347" s="45"/>
      <c r="H347" s="45"/>
      <c r="I347" s="45"/>
      <c r="J347" s="45"/>
      <c r="K347" s="45"/>
      <c r="L347" s="45"/>
      <c r="M347" s="45"/>
      <c r="N347" s="45"/>
    </row>
    <row r="348" ht="22.5" customHeight="1">
      <c r="A348" s="45"/>
      <c r="B348" s="45"/>
      <c r="C348" s="45"/>
      <c r="D348" s="45"/>
      <c r="E348" s="45"/>
      <c r="F348" s="45"/>
      <c r="G348" s="45"/>
      <c r="H348" s="45"/>
      <c r="I348" s="45"/>
      <c r="J348" s="45"/>
      <c r="K348" s="45"/>
      <c r="L348" s="45"/>
      <c r="M348" s="45"/>
      <c r="N348" s="45"/>
    </row>
    <row r="349" ht="22.5" customHeight="1">
      <c r="A349" s="45"/>
      <c r="B349" s="45"/>
      <c r="C349" s="45"/>
      <c r="D349" s="45"/>
      <c r="E349" s="45"/>
      <c r="F349" s="45"/>
      <c r="G349" s="45"/>
      <c r="H349" s="45"/>
      <c r="I349" s="45"/>
      <c r="J349" s="45"/>
      <c r="K349" s="45"/>
      <c r="L349" s="45"/>
      <c r="M349" s="45"/>
      <c r="N349" s="45"/>
    </row>
    <row r="350" ht="22.5" customHeight="1">
      <c r="A350" s="45"/>
      <c r="B350" s="45"/>
      <c r="C350" s="45"/>
      <c r="D350" s="45"/>
      <c r="E350" s="45"/>
      <c r="F350" s="45"/>
      <c r="G350" s="45"/>
      <c r="H350" s="45"/>
      <c r="I350" s="45"/>
      <c r="J350" s="45"/>
      <c r="K350" s="45"/>
      <c r="L350" s="45"/>
      <c r="M350" s="45"/>
      <c r="N350" s="45"/>
    </row>
    <row r="351" ht="22.5" customHeight="1">
      <c r="A351" s="45"/>
      <c r="B351" s="45"/>
      <c r="C351" s="45"/>
      <c r="D351" s="45"/>
      <c r="E351" s="45"/>
      <c r="F351" s="45"/>
      <c r="G351" s="45"/>
      <c r="H351" s="45"/>
      <c r="I351" s="45"/>
      <c r="J351" s="45"/>
      <c r="K351" s="45"/>
      <c r="L351" s="45"/>
      <c r="M351" s="45"/>
      <c r="N351" s="45"/>
    </row>
    <row r="352" ht="22.5" customHeight="1">
      <c r="A352" s="45"/>
      <c r="B352" s="45"/>
      <c r="C352" s="45"/>
      <c r="D352" s="45"/>
      <c r="E352" s="45"/>
      <c r="F352" s="45"/>
      <c r="G352" s="45"/>
      <c r="H352" s="45"/>
      <c r="I352" s="45"/>
      <c r="J352" s="45"/>
      <c r="K352" s="45"/>
      <c r="L352" s="45"/>
      <c r="M352" s="45"/>
      <c r="N352" s="45"/>
    </row>
    <row r="353" ht="22.5" customHeight="1">
      <c r="A353" s="45"/>
      <c r="B353" s="45"/>
      <c r="C353" s="45"/>
      <c r="D353" s="45"/>
      <c r="E353" s="45"/>
      <c r="F353" s="45"/>
      <c r="G353" s="45"/>
      <c r="H353" s="45"/>
      <c r="I353" s="45"/>
      <c r="J353" s="45"/>
      <c r="K353" s="45"/>
      <c r="L353" s="45"/>
      <c r="M353" s="45"/>
      <c r="N353" s="45"/>
    </row>
    <row r="354" ht="22.5" customHeight="1">
      <c r="A354" s="45"/>
      <c r="B354" s="45"/>
      <c r="C354" s="45"/>
      <c r="D354" s="45"/>
      <c r="E354" s="45"/>
      <c r="F354" s="45"/>
      <c r="G354" s="45"/>
      <c r="H354" s="45"/>
      <c r="I354" s="45"/>
      <c r="J354" s="45"/>
      <c r="K354" s="45"/>
      <c r="L354" s="45"/>
      <c r="M354" s="45"/>
      <c r="N354" s="45"/>
    </row>
    <row r="355" ht="22.5" customHeight="1">
      <c r="A355" s="45"/>
      <c r="B355" s="45"/>
      <c r="C355" s="45"/>
      <c r="D355" s="45"/>
      <c r="E355" s="45"/>
      <c r="F355" s="45"/>
      <c r="G355" s="45"/>
      <c r="H355" s="45"/>
      <c r="I355" s="45"/>
      <c r="J355" s="45"/>
      <c r="K355" s="45"/>
      <c r="L355" s="45"/>
      <c r="M355" s="45"/>
      <c r="N355" s="45"/>
    </row>
    <row r="356" ht="22.5" customHeight="1">
      <c r="A356" s="45"/>
      <c r="B356" s="45"/>
      <c r="C356" s="45"/>
      <c r="D356" s="45"/>
      <c r="E356" s="45"/>
      <c r="F356" s="45"/>
      <c r="G356" s="45"/>
      <c r="H356" s="45"/>
      <c r="I356" s="45"/>
      <c r="J356" s="45"/>
      <c r="K356" s="45"/>
      <c r="L356" s="45"/>
      <c r="M356" s="45"/>
      <c r="N356" s="45"/>
    </row>
    <row r="357" ht="22.5" customHeight="1">
      <c r="A357" s="45"/>
      <c r="B357" s="45"/>
      <c r="C357" s="45"/>
      <c r="D357" s="45"/>
      <c r="E357" s="45"/>
      <c r="F357" s="45"/>
      <c r="G357" s="45"/>
      <c r="H357" s="45"/>
      <c r="I357" s="45"/>
      <c r="J357" s="45"/>
      <c r="K357" s="45"/>
      <c r="L357" s="45"/>
      <c r="M357" s="45"/>
      <c r="N357" s="45"/>
    </row>
    <row r="358" ht="22.5" customHeight="1">
      <c r="A358" s="45"/>
      <c r="B358" s="45"/>
      <c r="C358" s="45"/>
      <c r="D358" s="45"/>
      <c r="E358" s="45"/>
      <c r="F358" s="45"/>
      <c r="G358" s="45"/>
      <c r="H358" s="45"/>
      <c r="I358" s="45"/>
      <c r="J358" s="45"/>
      <c r="K358" s="45"/>
      <c r="L358" s="45"/>
      <c r="M358" s="45"/>
      <c r="N358" s="45"/>
    </row>
    <row r="359" ht="22.5" customHeight="1">
      <c r="A359" s="45"/>
      <c r="B359" s="45"/>
      <c r="C359" s="45"/>
      <c r="D359" s="45"/>
      <c r="E359" s="45"/>
      <c r="F359" s="45"/>
      <c r="G359" s="45"/>
      <c r="H359" s="45"/>
      <c r="I359" s="45"/>
      <c r="J359" s="45"/>
      <c r="K359" s="45"/>
      <c r="L359" s="45"/>
      <c r="M359" s="45"/>
      <c r="N359" s="45"/>
    </row>
    <row r="360" ht="22.5" customHeight="1">
      <c r="A360" s="45"/>
      <c r="B360" s="45"/>
      <c r="C360" s="45"/>
      <c r="D360" s="45"/>
      <c r="E360" s="45"/>
      <c r="F360" s="45"/>
      <c r="G360" s="45"/>
      <c r="H360" s="45"/>
      <c r="I360" s="45"/>
      <c r="J360" s="45"/>
      <c r="K360" s="45"/>
      <c r="L360" s="45"/>
      <c r="M360" s="45"/>
      <c r="N360" s="45"/>
    </row>
    <row r="361" ht="22.5" customHeight="1">
      <c r="A361" s="45"/>
      <c r="B361" s="45"/>
      <c r="C361" s="45"/>
      <c r="D361" s="45"/>
      <c r="E361" s="45"/>
      <c r="F361" s="45"/>
      <c r="G361" s="45"/>
      <c r="H361" s="45"/>
      <c r="I361" s="45"/>
      <c r="J361" s="45"/>
      <c r="K361" s="45"/>
      <c r="L361" s="45"/>
      <c r="M361" s="45"/>
      <c r="N361" s="45"/>
    </row>
    <row r="362" ht="22.5" customHeight="1">
      <c r="A362" s="45"/>
      <c r="B362" s="45"/>
      <c r="C362" s="45"/>
      <c r="D362" s="45"/>
      <c r="E362" s="45"/>
      <c r="F362" s="45"/>
      <c r="G362" s="45"/>
      <c r="H362" s="45"/>
      <c r="I362" s="45"/>
      <c r="J362" s="45"/>
      <c r="K362" s="45"/>
      <c r="L362" s="45"/>
      <c r="M362" s="45"/>
      <c r="N362" s="45"/>
    </row>
    <row r="363" ht="22.5" customHeight="1">
      <c r="A363" s="45"/>
      <c r="B363" s="45"/>
      <c r="C363" s="45"/>
      <c r="D363" s="45"/>
      <c r="E363" s="45"/>
      <c r="F363" s="45"/>
      <c r="G363" s="45"/>
      <c r="H363" s="45"/>
      <c r="I363" s="45"/>
      <c r="J363" s="45"/>
      <c r="K363" s="45"/>
      <c r="L363" s="45"/>
      <c r="M363" s="45"/>
      <c r="N363" s="45"/>
    </row>
    <row r="364" ht="22.5" customHeight="1">
      <c r="A364" s="45"/>
      <c r="B364" s="45"/>
      <c r="C364" s="45"/>
      <c r="D364" s="45"/>
      <c r="E364" s="45"/>
      <c r="F364" s="45"/>
      <c r="G364" s="45"/>
      <c r="H364" s="45"/>
      <c r="I364" s="45"/>
      <c r="J364" s="45"/>
      <c r="K364" s="45"/>
      <c r="L364" s="45"/>
      <c r="M364" s="45"/>
      <c r="N364" s="45"/>
    </row>
    <row r="365" ht="22.5" customHeight="1">
      <c r="A365" s="45"/>
      <c r="B365" s="45"/>
      <c r="C365" s="45"/>
      <c r="D365" s="45"/>
      <c r="E365" s="45"/>
      <c r="F365" s="45"/>
      <c r="G365" s="45"/>
      <c r="H365" s="45"/>
      <c r="I365" s="45"/>
      <c r="J365" s="45"/>
      <c r="K365" s="45"/>
      <c r="L365" s="45"/>
      <c r="M365" s="45"/>
      <c r="N365" s="45"/>
    </row>
    <row r="366" ht="22.5" customHeight="1">
      <c r="A366" s="45"/>
      <c r="B366" s="45"/>
      <c r="C366" s="45"/>
      <c r="D366" s="45"/>
      <c r="E366" s="45"/>
      <c r="F366" s="45"/>
      <c r="G366" s="45"/>
      <c r="H366" s="45"/>
      <c r="I366" s="45"/>
      <c r="J366" s="45"/>
      <c r="K366" s="45"/>
      <c r="L366" s="45"/>
      <c r="M366" s="45"/>
      <c r="N366" s="45"/>
    </row>
    <row r="367" ht="22.5" customHeight="1">
      <c r="A367" s="45"/>
      <c r="B367" s="45"/>
      <c r="C367" s="45"/>
      <c r="D367" s="45"/>
      <c r="E367" s="45"/>
      <c r="F367" s="45"/>
      <c r="G367" s="45"/>
      <c r="H367" s="45"/>
      <c r="I367" s="45"/>
      <c r="J367" s="45"/>
      <c r="K367" s="45"/>
      <c r="L367" s="45"/>
      <c r="M367" s="45"/>
      <c r="N367" s="45"/>
    </row>
    <row r="368" ht="22.5" customHeight="1">
      <c r="A368" s="45"/>
      <c r="B368" s="45"/>
      <c r="C368" s="45"/>
      <c r="D368" s="45"/>
      <c r="E368" s="45"/>
      <c r="F368" s="45"/>
      <c r="G368" s="45"/>
      <c r="H368" s="45"/>
      <c r="I368" s="45"/>
      <c r="J368" s="45"/>
      <c r="K368" s="45"/>
      <c r="L368" s="45"/>
      <c r="M368" s="45"/>
      <c r="N368" s="45"/>
    </row>
    <row r="369" ht="22.5" customHeight="1">
      <c r="A369" s="45"/>
      <c r="B369" s="45"/>
      <c r="C369" s="45"/>
      <c r="D369" s="45"/>
      <c r="E369" s="45"/>
      <c r="F369" s="45"/>
      <c r="G369" s="45"/>
      <c r="H369" s="45"/>
      <c r="I369" s="45"/>
      <c r="J369" s="45"/>
      <c r="K369" s="45"/>
      <c r="L369" s="45"/>
      <c r="M369" s="45"/>
      <c r="N369" s="45"/>
    </row>
    <row r="370" ht="22.5" customHeight="1">
      <c r="A370" s="45"/>
      <c r="B370" s="45"/>
      <c r="C370" s="45"/>
      <c r="D370" s="45"/>
      <c r="E370" s="45"/>
      <c r="F370" s="45"/>
      <c r="G370" s="45"/>
      <c r="H370" s="45"/>
      <c r="I370" s="45"/>
      <c r="J370" s="45"/>
      <c r="K370" s="45"/>
      <c r="L370" s="45"/>
      <c r="M370" s="45"/>
      <c r="N370" s="45"/>
    </row>
    <row r="371" ht="22.5" customHeight="1">
      <c r="A371" s="45"/>
      <c r="B371" s="45"/>
      <c r="C371" s="45"/>
      <c r="D371" s="45"/>
      <c r="E371" s="45"/>
      <c r="F371" s="45"/>
      <c r="G371" s="45"/>
      <c r="H371" s="45"/>
      <c r="I371" s="45"/>
      <c r="J371" s="45"/>
      <c r="K371" s="45"/>
      <c r="L371" s="45"/>
      <c r="M371" s="45"/>
      <c r="N371" s="45"/>
    </row>
    <row r="372" ht="22.5" customHeight="1">
      <c r="A372" s="45"/>
      <c r="B372" s="45"/>
      <c r="C372" s="45"/>
      <c r="D372" s="45"/>
      <c r="E372" s="45"/>
      <c r="F372" s="45"/>
      <c r="G372" s="45"/>
      <c r="H372" s="45"/>
      <c r="I372" s="45"/>
      <c r="J372" s="45"/>
      <c r="K372" s="45"/>
      <c r="L372" s="45"/>
      <c r="M372" s="45"/>
      <c r="N372" s="45"/>
    </row>
    <row r="373" ht="22.5" customHeight="1">
      <c r="A373" s="45"/>
      <c r="B373" s="45"/>
      <c r="C373" s="45"/>
      <c r="D373" s="45"/>
      <c r="E373" s="45"/>
      <c r="F373" s="45"/>
      <c r="G373" s="45"/>
      <c r="H373" s="45"/>
      <c r="I373" s="45"/>
      <c r="J373" s="45"/>
      <c r="K373" s="45"/>
      <c r="L373" s="45"/>
      <c r="M373" s="45"/>
      <c r="N373" s="45"/>
    </row>
    <row r="374" ht="22.5" customHeight="1">
      <c r="A374" s="45"/>
      <c r="B374" s="45"/>
      <c r="C374" s="45"/>
      <c r="D374" s="45"/>
      <c r="E374" s="45"/>
      <c r="F374" s="45"/>
      <c r="G374" s="45"/>
      <c r="H374" s="45"/>
      <c r="I374" s="45"/>
      <c r="J374" s="45"/>
      <c r="K374" s="45"/>
      <c r="L374" s="45"/>
      <c r="M374" s="45"/>
      <c r="N374" s="45"/>
    </row>
    <row r="375" ht="22.5" customHeight="1">
      <c r="A375" s="45"/>
      <c r="B375" s="45"/>
      <c r="C375" s="45"/>
      <c r="D375" s="45"/>
      <c r="E375" s="45"/>
      <c r="F375" s="45"/>
      <c r="G375" s="45"/>
      <c r="H375" s="45"/>
      <c r="I375" s="45"/>
      <c r="J375" s="45"/>
      <c r="K375" s="45"/>
      <c r="L375" s="45"/>
      <c r="M375" s="45"/>
      <c r="N375" s="45"/>
    </row>
    <row r="376" ht="22.5" customHeight="1">
      <c r="A376" s="45"/>
      <c r="B376" s="45"/>
      <c r="C376" s="45"/>
      <c r="D376" s="45"/>
      <c r="E376" s="45"/>
      <c r="F376" s="45"/>
      <c r="G376" s="45"/>
      <c r="H376" s="45"/>
      <c r="I376" s="45"/>
      <c r="J376" s="45"/>
      <c r="K376" s="45"/>
      <c r="L376" s="45"/>
      <c r="M376" s="45"/>
      <c r="N376" s="45"/>
    </row>
    <row r="377" ht="22.5" customHeight="1">
      <c r="A377" s="45"/>
      <c r="B377" s="45"/>
      <c r="C377" s="45"/>
      <c r="D377" s="45"/>
      <c r="E377" s="45"/>
      <c r="F377" s="45"/>
      <c r="G377" s="45"/>
      <c r="H377" s="45"/>
      <c r="I377" s="45"/>
      <c r="J377" s="45"/>
      <c r="K377" s="45"/>
      <c r="L377" s="45"/>
      <c r="M377" s="45"/>
      <c r="N377" s="45"/>
    </row>
    <row r="378" ht="22.5" customHeight="1">
      <c r="A378" s="45"/>
      <c r="B378" s="45"/>
      <c r="C378" s="45"/>
      <c r="D378" s="45"/>
      <c r="E378" s="45"/>
      <c r="F378" s="45"/>
      <c r="G378" s="45"/>
      <c r="H378" s="45"/>
      <c r="I378" s="45"/>
      <c r="J378" s="45"/>
      <c r="K378" s="45"/>
      <c r="L378" s="45"/>
      <c r="M378" s="45"/>
      <c r="N378" s="45"/>
    </row>
    <row r="379" ht="22.5" customHeight="1">
      <c r="A379" s="45"/>
      <c r="B379" s="45"/>
      <c r="C379" s="45"/>
      <c r="D379" s="45"/>
      <c r="E379" s="45"/>
      <c r="F379" s="45"/>
      <c r="G379" s="45"/>
      <c r="H379" s="45"/>
      <c r="I379" s="45"/>
      <c r="J379" s="45"/>
      <c r="K379" s="45"/>
      <c r="L379" s="45"/>
      <c r="M379" s="45"/>
      <c r="N379" s="45"/>
    </row>
    <row r="380" ht="22.5" customHeight="1">
      <c r="A380" s="45"/>
      <c r="B380" s="45"/>
      <c r="C380" s="45"/>
      <c r="D380" s="45"/>
      <c r="E380" s="45"/>
      <c r="F380" s="45"/>
      <c r="G380" s="45"/>
      <c r="H380" s="45"/>
      <c r="I380" s="45"/>
      <c r="J380" s="45"/>
      <c r="K380" s="45"/>
      <c r="L380" s="45"/>
      <c r="M380" s="45"/>
      <c r="N380" s="45"/>
    </row>
    <row r="381" ht="22.5" customHeight="1">
      <c r="A381" s="45"/>
      <c r="B381" s="45"/>
      <c r="C381" s="45"/>
      <c r="D381" s="45"/>
      <c r="E381" s="45"/>
      <c r="F381" s="45"/>
      <c r="G381" s="45"/>
      <c r="H381" s="45"/>
      <c r="I381" s="45"/>
      <c r="J381" s="45"/>
      <c r="K381" s="45"/>
      <c r="L381" s="45"/>
      <c r="M381" s="45"/>
      <c r="N381" s="45"/>
    </row>
    <row r="382" ht="22.5" customHeight="1">
      <c r="A382" s="45"/>
      <c r="B382" s="45"/>
      <c r="C382" s="45"/>
      <c r="D382" s="45"/>
      <c r="E382" s="45"/>
      <c r="F382" s="45"/>
      <c r="G382" s="45"/>
      <c r="H382" s="45"/>
      <c r="I382" s="45"/>
      <c r="J382" s="45"/>
      <c r="K382" s="45"/>
      <c r="L382" s="45"/>
      <c r="M382" s="45"/>
      <c r="N382" s="45"/>
    </row>
    <row r="383" ht="22.5" customHeight="1">
      <c r="A383" s="45"/>
      <c r="B383" s="45"/>
      <c r="C383" s="45"/>
      <c r="D383" s="45"/>
      <c r="E383" s="45"/>
      <c r="F383" s="45"/>
      <c r="G383" s="45"/>
      <c r="H383" s="45"/>
      <c r="I383" s="45"/>
      <c r="J383" s="45"/>
      <c r="K383" s="45"/>
      <c r="L383" s="45"/>
      <c r="M383" s="45"/>
      <c r="N383" s="45"/>
    </row>
    <row r="384" ht="22.5" customHeight="1">
      <c r="A384" s="45"/>
      <c r="B384" s="45"/>
      <c r="C384" s="45"/>
      <c r="D384" s="45"/>
      <c r="E384" s="45"/>
      <c r="F384" s="45"/>
      <c r="G384" s="45"/>
      <c r="H384" s="45"/>
      <c r="I384" s="45"/>
      <c r="J384" s="45"/>
      <c r="K384" s="45"/>
      <c r="L384" s="45"/>
      <c r="M384" s="45"/>
      <c r="N384" s="45"/>
    </row>
    <row r="385" ht="22.5" customHeight="1">
      <c r="A385" s="45"/>
      <c r="B385" s="45"/>
      <c r="C385" s="45"/>
      <c r="D385" s="45"/>
      <c r="E385" s="45"/>
      <c r="F385" s="45"/>
      <c r="G385" s="45"/>
      <c r="H385" s="45"/>
      <c r="I385" s="45"/>
      <c r="J385" s="45"/>
      <c r="K385" s="45"/>
      <c r="L385" s="45"/>
      <c r="M385" s="45"/>
      <c r="N385" s="45"/>
    </row>
    <row r="386" ht="22.5" customHeight="1">
      <c r="A386" s="45"/>
      <c r="B386" s="45"/>
      <c r="C386" s="45"/>
      <c r="D386" s="45"/>
      <c r="E386" s="45"/>
      <c r="F386" s="45"/>
      <c r="G386" s="45"/>
      <c r="H386" s="45"/>
      <c r="I386" s="45"/>
      <c r="J386" s="45"/>
      <c r="K386" s="45"/>
      <c r="L386" s="45"/>
      <c r="M386" s="45"/>
      <c r="N386" s="45"/>
    </row>
    <row r="387" ht="22.5" customHeight="1">
      <c r="A387" s="45"/>
      <c r="B387" s="45"/>
      <c r="C387" s="45"/>
      <c r="D387" s="45"/>
      <c r="E387" s="45"/>
      <c r="F387" s="45"/>
      <c r="G387" s="45"/>
      <c r="H387" s="45"/>
      <c r="I387" s="45"/>
      <c r="J387" s="45"/>
      <c r="K387" s="45"/>
      <c r="L387" s="45"/>
      <c r="M387" s="45"/>
      <c r="N387" s="45"/>
    </row>
    <row r="388" ht="22.5" customHeight="1">
      <c r="A388" s="45"/>
      <c r="B388" s="45"/>
      <c r="C388" s="45"/>
      <c r="D388" s="45"/>
      <c r="E388" s="45"/>
      <c r="F388" s="45"/>
      <c r="G388" s="45"/>
      <c r="H388" s="45"/>
      <c r="I388" s="45"/>
      <c r="J388" s="45"/>
      <c r="K388" s="45"/>
      <c r="L388" s="45"/>
      <c r="M388" s="45"/>
      <c r="N388" s="45"/>
    </row>
    <row r="389" ht="22.5" customHeight="1">
      <c r="A389" s="45"/>
      <c r="B389" s="45"/>
      <c r="C389" s="45"/>
      <c r="D389" s="45"/>
      <c r="E389" s="45"/>
      <c r="F389" s="45"/>
      <c r="G389" s="45"/>
      <c r="H389" s="45"/>
      <c r="I389" s="45"/>
      <c r="J389" s="45"/>
      <c r="K389" s="45"/>
      <c r="L389" s="45"/>
      <c r="M389" s="45"/>
      <c r="N389" s="45"/>
    </row>
    <row r="390" ht="22.5" customHeight="1">
      <c r="A390" s="45"/>
      <c r="B390" s="45"/>
      <c r="C390" s="45"/>
      <c r="D390" s="45"/>
      <c r="E390" s="45"/>
      <c r="F390" s="45"/>
      <c r="G390" s="45"/>
      <c r="H390" s="45"/>
      <c r="I390" s="45"/>
      <c r="J390" s="45"/>
      <c r="K390" s="45"/>
      <c r="L390" s="45"/>
      <c r="M390" s="45"/>
      <c r="N390" s="45"/>
    </row>
    <row r="391" ht="22.5" customHeight="1">
      <c r="A391" s="45"/>
      <c r="B391" s="45"/>
      <c r="C391" s="45"/>
      <c r="D391" s="45"/>
      <c r="E391" s="45"/>
      <c r="F391" s="45"/>
      <c r="G391" s="45"/>
      <c r="H391" s="45"/>
      <c r="I391" s="45"/>
      <c r="J391" s="45"/>
      <c r="K391" s="45"/>
      <c r="L391" s="45"/>
      <c r="M391" s="45"/>
      <c r="N391" s="45"/>
    </row>
    <row r="392" ht="22.5" customHeight="1">
      <c r="A392" s="45"/>
      <c r="B392" s="45"/>
      <c r="C392" s="45"/>
      <c r="D392" s="45"/>
      <c r="E392" s="45"/>
      <c r="F392" s="45"/>
      <c r="G392" s="45"/>
      <c r="H392" s="45"/>
      <c r="I392" s="45"/>
      <c r="J392" s="45"/>
      <c r="K392" s="45"/>
      <c r="L392" s="45"/>
      <c r="M392" s="45"/>
      <c r="N392" s="45"/>
    </row>
    <row r="393" ht="22.5" customHeight="1">
      <c r="A393" s="45"/>
      <c r="B393" s="45"/>
      <c r="C393" s="45"/>
      <c r="D393" s="45"/>
      <c r="E393" s="45"/>
      <c r="F393" s="45"/>
      <c r="G393" s="45"/>
      <c r="H393" s="45"/>
      <c r="I393" s="45"/>
      <c r="J393" s="45"/>
      <c r="K393" s="45"/>
      <c r="L393" s="45"/>
      <c r="M393" s="45"/>
      <c r="N393" s="45"/>
    </row>
    <row r="394" ht="22.5" customHeight="1">
      <c r="A394" s="45"/>
      <c r="B394" s="45"/>
      <c r="C394" s="45"/>
      <c r="D394" s="45"/>
      <c r="E394" s="45"/>
      <c r="F394" s="45"/>
      <c r="G394" s="45"/>
      <c r="H394" s="45"/>
      <c r="I394" s="45"/>
      <c r="J394" s="45"/>
      <c r="K394" s="45"/>
      <c r="L394" s="45"/>
      <c r="M394" s="45"/>
      <c r="N394" s="45"/>
    </row>
    <row r="395" ht="22.5" customHeight="1">
      <c r="A395" s="45"/>
      <c r="B395" s="45"/>
      <c r="C395" s="45"/>
      <c r="D395" s="45"/>
      <c r="E395" s="45"/>
      <c r="F395" s="45"/>
      <c r="G395" s="45"/>
      <c r="H395" s="45"/>
      <c r="I395" s="45"/>
      <c r="J395" s="45"/>
      <c r="K395" s="45"/>
      <c r="L395" s="45"/>
      <c r="M395" s="45"/>
      <c r="N395" s="45"/>
    </row>
    <row r="396" ht="22.5" customHeight="1">
      <c r="A396" s="45"/>
      <c r="B396" s="45"/>
      <c r="C396" s="45"/>
      <c r="D396" s="45"/>
      <c r="E396" s="45"/>
      <c r="F396" s="45"/>
      <c r="G396" s="45"/>
      <c r="H396" s="45"/>
      <c r="I396" s="45"/>
      <c r="J396" s="45"/>
      <c r="K396" s="45"/>
      <c r="L396" s="45"/>
      <c r="M396" s="45"/>
      <c r="N396" s="45"/>
    </row>
    <row r="397" ht="22.5" customHeight="1">
      <c r="A397" s="45"/>
      <c r="B397" s="45"/>
      <c r="C397" s="45"/>
      <c r="D397" s="45"/>
      <c r="E397" s="45"/>
      <c r="F397" s="45"/>
      <c r="G397" s="45"/>
      <c r="H397" s="45"/>
      <c r="I397" s="45"/>
      <c r="J397" s="45"/>
      <c r="K397" s="45"/>
      <c r="L397" s="45"/>
      <c r="M397" s="45"/>
      <c r="N397" s="45"/>
    </row>
    <row r="398" ht="22.5" customHeight="1">
      <c r="A398" s="45"/>
      <c r="B398" s="45"/>
      <c r="C398" s="45"/>
      <c r="D398" s="45"/>
      <c r="E398" s="45"/>
      <c r="F398" s="45"/>
      <c r="G398" s="45"/>
      <c r="H398" s="45"/>
      <c r="I398" s="45"/>
      <c r="J398" s="45"/>
      <c r="K398" s="45"/>
      <c r="L398" s="45"/>
      <c r="M398" s="45"/>
      <c r="N398" s="45"/>
    </row>
    <row r="399" ht="22.5" customHeight="1">
      <c r="A399" s="45"/>
      <c r="B399" s="45"/>
      <c r="C399" s="45"/>
      <c r="D399" s="45"/>
      <c r="E399" s="45"/>
      <c r="F399" s="45"/>
      <c r="G399" s="45"/>
      <c r="H399" s="45"/>
      <c r="I399" s="45"/>
      <c r="J399" s="45"/>
      <c r="K399" s="45"/>
      <c r="L399" s="45"/>
      <c r="M399" s="45"/>
      <c r="N399" s="45"/>
    </row>
    <row r="400" ht="22.5" customHeight="1">
      <c r="A400" s="45"/>
      <c r="B400" s="45"/>
      <c r="C400" s="45"/>
      <c r="D400" s="45"/>
      <c r="E400" s="45"/>
      <c r="F400" s="45"/>
      <c r="G400" s="45"/>
      <c r="H400" s="45"/>
      <c r="I400" s="45"/>
      <c r="J400" s="45"/>
      <c r="K400" s="45"/>
      <c r="L400" s="45"/>
      <c r="M400" s="45"/>
      <c r="N400" s="45"/>
    </row>
    <row r="401" ht="22.5" customHeight="1">
      <c r="A401" s="45"/>
      <c r="B401" s="45"/>
      <c r="C401" s="45"/>
      <c r="D401" s="45"/>
      <c r="E401" s="45"/>
      <c r="F401" s="45"/>
      <c r="G401" s="45"/>
      <c r="H401" s="45"/>
      <c r="I401" s="45"/>
      <c r="J401" s="45"/>
      <c r="K401" s="45"/>
      <c r="L401" s="45"/>
      <c r="M401" s="45"/>
      <c r="N401" s="45"/>
    </row>
    <row r="402" ht="22.5" customHeight="1">
      <c r="A402" s="45"/>
      <c r="B402" s="45"/>
      <c r="C402" s="45"/>
      <c r="D402" s="45"/>
      <c r="E402" s="45"/>
      <c r="F402" s="45"/>
      <c r="G402" s="45"/>
      <c r="H402" s="45"/>
      <c r="I402" s="45"/>
      <c r="J402" s="45"/>
      <c r="K402" s="45"/>
      <c r="L402" s="45"/>
      <c r="M402" s="45"/>
      <c r="N402" s="45"/>
    </row>
    <row r="403" ht="22.5" customHeight="1">
      <c r="A403" s="45"/>
      <c r="B403" s="45"/>
      <c r="C403" s="45"/>
      <c r="D403" s="45"/>
      <c r="E403" s="45"/>
      <c r="F403" s="45"/>
      <c r="G403" s="45"/>
      <c r="H403" s="45"/>
      <c r="I403" s="45"/>
      <c r="J403" s="45"/>
      <c r="K403" s="45"/>
      <c r="L403" s="45"/>
      <c r="M403" s="45"/>
      <c r="N403" s="45"/>
    </row>
    <row r="404" ht="22.5" customHeight="1">
      <c r="A404" s="45"/>
      <c r="B404" s="45"/>
      <c r="C404" s="45"/>
      <c r="D404" s="45"/>
      <c r="E404" s="45"/>
      <c r="F404" s="45"/>
      <c r="G404" s="45"/>
      <c r="H404" s="45"/>
      <c r="I404" s="45"/>
      <c r="J404" s="45"/>
      <c r="K404" s="45"/>
      <c r="L404" s="45"/>
      <c r="M404" s="45"/>
      <c r="N404" s="45"/>
    </row>
    <row r="405" ht="22.5" customHeight="1">
      <c r="A405" s="45"/>
      <c r="B405" s="45"/>
      <c r="C405" s="45"/>
      <c r="D405" s="45"/>
      <c r="E405" s="45"/>
      <c r="F405" s="45"/>
      <c r="G405" s="45"/>
      <c r="H405" s="45"/>
      <c r="I405" s="45"/>
      <c r="J405" s="45"/>
      <c r="K405" s="45"/>
      <c r="L405" s="45"/>
      <c r="M405" s="45"/>
      <c r="N405" s="45"/>
    </row>
    <row r="406" ht="22.5" customHeight="1">
      <c r="A406" s="45"/>
      <c r="B406" s="45"/>
      <c r="C406" s="45"/>
      <c r="D406" s="45"/>
      <c r="E406" s="45"/>
      <c r="F406" s="45"/>
      <c r="G406" s="45"/>
      <c r="H406" s="45"/>
      <c r="I406" s="45"/>
      <c r="J406" s="45"/>
      <c r="K406" s="45"/>
      <c r="L406" s="45"/>
      <c r="M406" s="45"/>
      <c r="N406" s="45"/>
    </row>
    <row r="407" ht="22.5" customHeight="1">
      <c r="A407" s="45"/>
      <c r="B407" s="45"/>
      <c r="C407" s="45"/>
      <c r="D407" s="45"/>
      <c r="E407" s="45"/>
      <c r="F407" s="45"/>
      <c r="G407" s="45"/>
      <c r="H407" s="45"/>
      <c r="I407" s="45"/>
      <c r="J407" s="45"/>
      <c r="K407" s="45"/>
      <c r="L407" s="45"/>
      <c r="M407" s="45"/>
      <c r="N407" s="45"/>
    </row>
    <row r="408" ht="22.5" customHeight="1">
      <c r="A408" s="45"/>
      <c r="B408" s="45"/>
      <c r="C408" s="45"/>
      <c r="D408" s="45"/>
      <c r="E408" s="45"/>
      <c r="F408" s="45"/>
      <c r="G408" s="45"/>
      <c r="H408" s="45"/>
      <c r="I408" s="45"/>
      <c r="J408" s="45"/>
      <c r="K408" s="45"/>
      <c r="L408" s="45"/>
      <c r="M408" s="45"/>
      <c r="N408" s="45"/>
    </row>
    <row r="409" ht="22.5" customHeight="1">
      <c r="A409" s="45"/>
      <c r="B409" s="45"/>
      <c r="C409" s="45"/>
      <c r="D409" s="45"/>
      <c r="E409" s="45"/>
      <c r="F409" s="45"/>
      <c r="G409" s="45"/>
      <c r="H409" s="45"/>
      <c r="I409" s="45"/>
      <c r="J409" s="45"/>
      <c r="K409" s="45"/>
      <c r="L409" s="45"/>
      <c r="M409" s="45"/>
      <c r="N409" s="45"/>
    </row>
    <row r="410" ht="22.5" customHeight="1">
      <c r="A410" s="45"/>
      <c r="B410" s="45"/>
      <c r="C410" s="45"/>
      <c r="D410" s="45"/>
      <c r="E410" s="45"/>
      <c r="F410" s="45"/>
      <c r="G410" s="45"/>
      <c r="H410" s="45"/>
      <c r="I410" s="45"/>
      <c r="J410" s="45"/>
      <c r="K410" s="45"/>
      <c r="L410" s="45"/>
      <c r="M410" s="45"/>
      <c r="N410" s="45"/>
    </row>
    <row r="411" ht="22.5" customHeight="1">
      <c r="A411" s="45"/>
      <c r="B411" s="45"/>
      <c r="C411" s="45"/>
      <c r="D411" s="45"/>
      <c r="E411" s="45"/>
      <c r="F411" s="45"/>
      <c r="G411" s="45"/>
      <c r="H411" s="45"/>
      <c r="I411" s="45"/>
      <c r="J411" s="45"/>
      <c r="K411" s="45"/>
      <c r="L411" s="45"/>
      <c r="M411" s="45"/>
      <c r="N411" s="45"/>
    </row>
    <row r="412" ht="22.5" customHeight="1">
      <c r="A412" s="45"/>
      <c r="B412" s="45"/>
      <c r="C412" s="45"/>
      <c r="D412" s="45"/>
      <c r="E412" s="45"/>
      <c r="F412" s="45"/>
      <c r="G412" s="45"/>
      <c r="H412" s="45"/>
      <c r="I412" s="45"/>
      <c r="J412" s="45"/>
      <c r="K412" s="45"/>
      <c r="L412" s="45"/>
      <c r="M412" s="45"/>
      <c r="N412" s="45"/>
    </row>
    <row r="413" ht="22.5" customHeight="1">
      <c r="A413" s="45"/>
      <c r="B413" s="45"/>
      <c r="C413" s="45"/>
      <c r="D413" s="45"/>
      <c r="E413" s="45"/>
      <c r="F413" s="45"/>
      <c r="G413" s="45"/>
      <c r="H413" s="45"/>
      <c r="I413" s="45"/>
      <c r="J413" s="45"/>
      <c r="K413" s="45"/>
      <c r="L413" s="45"/>
      <c r="M413" s="45"/>
      <c r="N413" s="45"/>
    </row>
    <row r="414" ht="22.5" customHeight="1">
      <c r="A414" s="45"/>
      <c r="B414" s="45"/>
      <c r="C414" s="45"/>
      <c r="D414" s="45"/>
      <c r="E414" s="45"/>
      <c r="F414" s="45"/>
      <c r="G414" s="45"/>
      <c r="H414" s="45"/>
      <c r="I414" s="45"/>
      <c r="J414" s="45"/>
      <c r="K414" s="45"/>
      <c r="L414" s="45"/>
      <c r="M414" s="45"/>
      <c r="N414" s="45"/>
    </row>
    <row r="415" ht="22.5" customHeight="1">
      <c r="A415" s="45"/>
      <c r="B415" s="45"/>
      <c r="C415" s="45"/>
      <c r="D415" s="45"/>
      <c r="E415" s="45"/>
      <c r="F415" s="45"/>
      <c r="G415" s="45"/>
      <c r="H415" s="45"/>
      <c r="I415" s="45"/>
      <c r="J415" s="45"/>
      <c r="K415" s="45"/>
      <c r="L415" s="45"/>
      <c r="M415" s="45"/>
      <c r="N415" s="45"/>
    </row>
    <row r="416" ht="22.5" customHeight="1">
      <c r="A416" s="45"/>
      <c r="B416" s="45"/>
      <c r="C416" s="45"/>
      <c r="D416" s="45"/>
      <c r="E416" s="45"/>
      <c r="F416" s="45"/>
      <c r="G416" s="45"/>
      <c r="H416" s="45"/>
      <c r="I416" s="45"/>
      <c r="J416" s="45"/>
      <c r="K416" s="45"/>
      <c r="L416" s="45"/>
      <c r="M416" s="45"/>
      <c r="N416" s="45"/>
    </row>
    <row r="417" ht="22.5" customHeight="1">
      <c r="A417" s="45"/>
      <c r="B417" s="45"/>
      <c r="C417" s="45"/>
      <c r="D417" s="45"/>
      <c r="E417" s="45"/>
      <c r="F417" s="45"/>
      <c r="G417" s="45"/>
      <c r="H417" s="45"/>
      <c r="I417" s="45"/>
      <c r="J417" s="45"/>
      <c r="K417" s="45"/>
      <c r="L417" s="45"/>
      <c r="M417" s="45"/>
      <c r="N417" s="45"/>
    </row>
    <row r="418" ht="22.5" customHeight="1">
      <c r="A418" s="45"/>
      <c r="B418" s="45"/>
      <c r="C418" s="45"/>
      <c r="D418" s="45"/>
      <c r="E418" s="45"/>
      <c r="F418" s="45"/>
      <c r="G418" s="45"/>
      <c r="H418" s="45"/>
      <c r="I418" s="45"/>
      <c r="J418" s="45"/>
      <c r="K418" s="45"/>
      <c r="L418" s="45"/>
      <c r="M418" s="45"/>
      <c r="N418" s="45"/>
    </row>
    <row r="419" ht="22.5" customHeight="1">
      <c r="A419" s="45"/>
      <c r="B419" s="45"/>
      <c r="C419" s="45"/>
      <c r="D419" s="45"/>
      <c r="E419" s="45"/>
      <c r="F419" s="45"/>
      <c r="G419" s="45"/>
      <c r="H419" s="45"/>
      <c r="I419" s="45"/>
      <c r="J419" s="45"/>
      <c r="K419" s="45"/>
      <c r="L419" s="45"/>
      <c r="M419" s="45"/>
      <c r="N419" s="45"/>
    </row>
    <row r="420" ht="22.5" customHeight="1">
      <c r="A420" s="45"/>
      <c r="B420" s="45"/>
      <c r="C420" s="45"/>
      <c r="D420" s="45"/>
      <c r="E420" s="45"/>
      <c r="F420" s="45"/>
      <c r="G420" s="45"/>
      <c r="H420" s="45"/>
      <c r="I420" s="45"/>
      <c r="J420" s="45"/>
      <c r="K420" s="45"/>
      <c r="L420" s="45"/>
      <c r="M420" s="45"/>
      <c r="N420" s="45"/>
    </row>
    <row r="421" ht="22.5" customHeight="1">
      <c r="A421" s="45"/>
      <c r="B421" s="45"/>
      <c r="C421" s="45"/>
      <c r="D421" s="45"/>
      <c r="E421" s="45"/>
      <c r="F421" s="45"/>
      <c r="G421" s="45"/>
      <c r="H421" s="45"/>
      <c r="I421" s="45"/>
      <c r="J421" s="45"/>
      <c r="K421" s="45"/>
      <c r="L421" s="45"/>
      <c r="M421" s="45"/>
      <c r="N421" s="45"/>
    </row>
    <row r="422" ht="22.5" customHeight="1">
      <c r="A422" s="45"/>
      <c r="B422" s="45"/>
      <c r="C422" s="45"/>
      <c r="D422" s="45"/>
      <c r="E422" s="45"/>
      <c r="F422" s="45"/>
      <c r="G422" s="45"/>
      <c r="H422" s="45"/>
      <c r="I422" s="45"/>
      <c r="J422" s="45"/>
      <c r="K422" s="45"/>
      <c r="L422" s="45"/>
      <c r="M422" s="45"/>
      <c r="N422" s="45"/>
    </row>
    <row r="423" ht="22.5" customHeight="1">
      <c r="A423" s="45"/>
      <c r="B423" s="45"/>
      <c r="C423" s="45"/>
      <c r="D423" s="45"/>
      <c r="E423" s="45"/>
      <c r="F423" s="45"/>
      <c r="G423" s="45"/>
      <c r="H423" s="45"/>
      <c r="I423" s="45"/>
      <c r="J423" s="45"/>
      <c r="K423" s="45"/>
      <c r="L423" s="45"/>
      <c r="M423" s="45"/>
      <c r="N423" s="45"/>
    </row>
    <row r="424" ht="22.5" customHeight="1">
      <c r="A424" s="45"/>
      <c r="B424" s="45"/>
      <c r="C424" s="45"/>
      <c r="D424" s="45"/>
      <c r="E424" s="45"/>
      <c r="F424" s="45"/>
      <c r="G424" s="45"/>
      <c r="H424" s="45"/>
      <c r="I424" s="45"/>
      <c r="J424" s="45"/>
      <c r="K424" s="45"/>
      <c r="L424" s="45"/>
      <c r="M424" s="45"/>
      <c r="N424" s="45"/>
    </row>
    <row r="425" ht="22.5" customHeight="1">
      <c r="A425" s="45"/>
      <c r="B425" s="45"/>
      <c r="C425" s="45"/>
      <c r="D425" s="45"/>
      <c r="E425" s="45"/>
      <c r="F425" s="45"/>
      <c r="G425" s="45"/>
      <c r="H425" s="45"/>
      <c r="I425" s="45"/>
      <c r="J425" s="45"/>
      <c r="K425" s="45"/>
      <c r="L425" s="45"/>
      <c r="M425" s="45"/>
      <c r="N425" s="45"/>
    </row>
    <row r="426" ht="22.5" customHeight="1">
      <c r="A426" s="45"/>
      <c r="B426" s="45"/>
      <c r="C426" s="45"/>
      <c r="D426" s="45"/>
      <c r="E426" s="45"/>
      <c r="F426" s="45"/>
      <c r="G426" s="45"/>
      <c r="H426" s="45"/>
      <c r="I426" s="45"/>
      <c r="J426" s="45"/>
      <c r="K426" s="45"/>
      <c r="L426" s="45"/>
      <c r="M426" s="45"/>
      <c r="N426" s="45"/>
    </row>
    <row r="427" ht="22.5" customHeight="1">
      <c r="A427" s="45"/>
      <c r="B427" s="45"/>
      <c r="C427" s="45"/>
      <c r="D427" s="45"/>
      <c r="E427" s="45"/>
      <c r="F427" s="45"/>
      <c r="G427" s="45"/>
      <c r="H427" s="45"/>
      <c r="I427" s="45"/>
      <c r="J427" s="45"/>
      <c r="K427" s="45"/>
      <c r="L427" s="45"/>
      <c r="M427" s="45"/>
      <c r="N427" s="45"/>
    </row>
    <row r="428" ht="22.5" customHeight="1">
      <c r="A428" s="45"/>
      <c r="B428" s="45"/>
      <c r="C428" s="45"/>
      <c r="D428" s="45"/>
      <c r="E428" s="45"/>
      <c r="F428" s="45"/>
      <c r="G428" s="45"/>
      <c r="H428" s="45"/>
      <c r="I428" s="45"/>
      <c r="J428" s="45"/>
      <c r="K428" s="45"/>
      <c r="L428" s="45"/>
      <c r="M428" s="45"/>
      <c r="N428" s="45"/>
    </row>
    <row r="429" ht="22.5" customHeight="1">
      <c r="A429" s="45"/>
      <c r="B429" s="45"/>
      <c r="C429" s="45"/>
      <c r="D429" s="45"/>
      <c r="E429" s="45"/>
      <c r="F429" s="45"/>
      <c r="G429" s="45"/>
      <c r="H429" s="45"/>
      <c r="I429" s="45"/>
      <c r="J429" s="45"/>
      <c r="K429" s="45"/>
      <c r="L429" s="45"/>
      <c r="M429" s="45"/>
      <c r="N429" s="45"/>
    </row>
    <row r="430" ht="22.5" customHeight="1">
      <c r="A430" s="45"/>
      <c r="B430" s="45"/>
      <c r="C430" s="45"/>
      <c r="D430" s="45"/>
      <c r="E430" s="45"/>
      <c r="F430" s="45"/>
      <c r="G430" s="45"/>
      <c r="H430" s="45"/>
      <c r="I430" s="45"/>
      <c r="J430" s="45"/>
      <c r="K430" s="45"/>
      <c r="L430" s="45"/>
      <c r="M430" s="45"/>
      <c r="N430" s="45"/>
    </row>
    <row r="431" ht="22.5" customHeight="1">
      <c r="A431" s="45"/>
      <c r="B431" s="45"/>
      <c r="C431" s="45"/>
      <c r="D431" s="45"/>
      <c r="E431" s="45"/>
      <c r="F431" s="45"/>
      <c r="G431" s="45"/>
      <c r="H431" s="45"/>
      <c r="I431" s="45"/>
      <c r="J431" s="45"/>
      <c r="K431" s="45"/>
      <c r="L431" s="45"/>
      <c r="M431" s="45"/>
      <c r="N431" s="45"/>
    </row>
    <row r="432" ht="22.5" customHeight="1">
      <c r="A432" s="45"/>
      <c r="B432" s="45"/>
      <c r="C432" s="45"/>
      <c r="D432" s="45"/>
      <c r="E432" s="45"/>
      <c r="F432" s="45"/>
      <c r="G432" s="45"/>
      <c r="H432" s="45"/>
      <c r="I432" s="45"/>
      <c r="J432" s="45"/>
      <c r="K432" s="45"/>
      <c r="L432" s="45"/>
      <c r="M432" s="45"/>
      <c r="N432" s="45"/>
    </row>
    <row r="433" ht="22.5" customHeight="1">
      <c r="A433" s="45"/>
      <c r="B433" s="45"/>
      <c r="C433" s="45"/>
      <c r="D433" s="45"/>
      <c r="E433" s="45"/>
      <c r="F433" s="45"/>
      <c r="G433" s="45"/>
      <c r="H433" s="45"/>
      <c r="I433" s="45"/>
      <c r="J433" s="45"/>
      <c r="K433" s="45"/>
      <c r="L433" s="45"/>
      <c r="M433" s="45"/>
      <c r="N433" s="45"/>
    </row>
    <row r="434" ht="22.5" customHeight="1">
      <c r="A434" s="45"/>
      <c r="B434" s="45"/>
      <c r="C434" s="45"/>
      <c r="D434" s="45"/>
      <c r="E434" s="45"/>
      <c r="F434" s="45"/>
      <c r="G434" s="45"/>
      <c r="H434" s="45"/>
      <c r="I434" s="45"/>
      <c r="J434" s="45"/>
      <c r="K434" s="45"/>
      <c r="L434" s="45"/>
      <c r="M434" s="45"/>
      <c r="N434" s="45"/>
    </row>
    <row r="435" ht="22.5" customHeight="1">
      <c r="A435" s="45"/>
      <c r="B435" s="45"/>
      <c r="C435" s="45"/>
      <c r="D435" s="45"/>
      <c r="E435" s="45"/>
      <c r="F435" s="45"/>
      <c r="G435" s="45"/>
      <c r="H435" s="45"/>
      <c r="I435" s="45"/>
      <c r="J435" s="45"/>
      <c r="K435" s="45"/>
      <c r="L435" s="45"/>
      <c r="M435" s="45"/>
      <c r="N435" s="45"/>
    </row>
    <row r="436" ht="22.5" customHeight="1">
      <c r="A436" s="45"/>
      <c r="B436" s="45"/>
      <c r="C436" s="45"/>
      <c r="D436" s="45"/>
      <c r="E436" s="45"/>
      <c r="F436" s="45"/>
      <c r="G436" s="45"/>
      <c r="H436" s="45"/>
      <c r="I436" s="45"/>
      <c r="J436" s="45"/>
      <c r="K436" s="45"/>
      <c r="L436" s="45"/>
      <c r="M436" s="45"/>
      <c r="N436" s="45"/>
    </row>
    <row r="437" ht="22.5" customHeight="1">
      <c r="A437" s="45"/>
      <c r="B437" s="45"/>
      <c r="C437" s="45"/>
      <c r="D437" s="45"/>
      <c r="E437" s="45"/>
      <c r="F437" s="45"/>
      <c r="G437" s="45"/>
      <c r="H437" s="45"/>
      <c r="I437" s="45"/>
      <c r="J437" s="45"/>
      <c r="K437" s="45"/>
      <c r="L437" s="45"/>
      <c r="M437" s="45"/>
      <c r="N437" s="45"/>
    </row>
    <row r="438" ht="22.5" customHeight="1">
      <c r="A438" s="45"/>
      <c r="B438" s="45"/>
      <c r="C438" s="45"/>
      <c r="D438" s="45"/>
      <c r="E438" s="45"/>
      <c r="F438" s="45"/>
      <c r="G438" s="45"/>
      <c r="H438" s="45"/>
      <c r="I438" s="45"/>
      <c r="J438" s="45"/>
      <c r="K438" s="45"/>
      <c r="L438" s="45"/>
      <c r="M438" s="45"/>
      <c r="N438" s="45"/>
    </row>
    <row r="439" ht="22.5" customHeight="1">
      <c r="A439" s="45"/>
      <c r="B439" s="45"/>
      <c r="C439" s="45"/>
      <c r="D439" s="45"/>
      <c r="E439" s="45"/>
      <c r="F439" s="45"/>
      <c r="G439" s="45"/>
      <c r="H439" s="45"/>
      <c r="I439" s="45"/>
      <c r="J439" s="45"/>
      <c r="K439" s="45"/>
      <c r="L439" s="45"/>
      <c r="M439" s="45"/>
      <c r="N439" s="45"/>
    </row>
    <row r="440" ht="22.5" customHeight="1">
      <c r="A440" s="45"/>
      <c r="B440" s="45"/>
      <c r="C440" s="45"/>
      <c r="D440" s="45"/>
      <c r="E440" s="45"/>
      <c r="F440" s="45"/>
      <c r="G440" s="45"/>
      <c r="H440" s="45"/>
      <c r="I440" s="45"/>
      <c r="J440" s="45"/>
      <c r="K440" s="45"/>
      <c r="L440" s="45"/>
      <c r="M440" s="45"/>
      <c r="N440" s="45"/>
    </row>
    <row r="441" ht="22.5" customHeight="1">
      <c r="A441" s="45"/>
      <c r="B441" s="45"/>
      <c r="C441" s="45"/>
      <c r="D441" s="45"/>
      <c r="E441" s="45"/>
      <c r="F441" s="45"/>
      <c r="G441" s="45"/>
      <c r="H441" s="45"/>
      <c r="I441" s="45"/>
      <c r="J441" s="45"/>
      <c r="K441" s="45"/>
      <c r="L441" s="45"/>
      <c r="M441" s="45"/>
      <c r="N441" s="45"/>
    </row>
    <row r="442" ht="22.5" customHeight="1">
      <c r="A442" s="45"/>
      <c r="B442" s="45"/>
      <c r="C442" s="45"/>
      <c r="D442" s="45"/>
      <c r="E442" s="45"/>
      <c r="F442" s="45"/>
      <c r="G442" s="45"/>
      <c r="H442" s="45"/>
      <c r="I442" s="45"/>
      <c r="J442" s="45"/>
      <c r="K442" s="45"/>
      <c r="L442" s="45"/>
      <c r="M442" s="45"/>
      <c r="N442" s="45"/>
    </row>
    <row r="443" ht="22.5" customHeight="1">
      <c r="A443" s="45"/>
      <c r="B443" s="45"/>
      <c r="C443" s="45"/>
      <c r="D443" s="45"/>
      <c r="E443" s="45"/>
      <c r="F443" s="45"/>
      <c r="G443" s="45"/>
      <c r="H443" s="45"/>
      <c r="I443" s="45"/>
      <c r="J443" s="45"/>
      <c r="K443" s="45"/>
      <c r="L443" s="45"/>
      <c r="M443" s="45"/>
      <c r="N443" s="45"/>
    </row>
    <row r="444" ht="22.5" customHeight="1">
      <c r="A444" s="45"/>
      <c r="B444" s="45"/>
      <c r="C444" s="45"/>
      <c r="D444" s="45"/>
      <c r="E444" s="45"/>
      <c r="F444" s="45"/>
      <c r="G444" s="45"/>
      <c r="H444" s="45"/>
      <c r="I444" s="45"/>
      <c r="J444" s="45"/>
      <c r="K444" s="45"/>
      <c r="L444" s="45"/>
      <c r="M444" s="45"/>
      <c r="N444" s="45"/>
    </row>
    <row r="445" ht="22.5" customHeight="1">
      <c r="A445" s="45"/>
      <c r="B445" s="45"/>
      <c r="C445" s="45"/>
      <c r="D445" s="45"/>
      <c r="E445" s="45"/>
      <c r="F445" s="45"/>
      <c r="G445" s="45"/>
      <c r="H445" s="45"/>
      <c r="I445" s="45"/>
      <c r="J445" s="45"/>
      <c r="K445" s="45"/>
      <c r="L445" s="45"/>
      <c r="M445" s="45"/>
      <c r="N445" s="45"/>
    </row>
    <row r="446" ht="22.5" customHeight="1">
      <c r="A446" s="45"/>
      <c r="B446" s="45"/>
      <c r="C446" s="45"/>
      <c r="D446" s="45"/>
      <c r="E446" s="45"/>
      <c r="F446" s="45"/>
      <c r="G446" s="45"/>
      <c r="H446" s="45"/>
      <c r="I446" s="45"/>
      <c r="J446" s="45"/>
      <c r="K446" s="45"/>
      <c r="L446" s="45"/>
      <c r="M446" s="45"/>
      <c r="N446" s="45"/>
    </row>
    <row r="447" ht="22.5" customHeight="1">
      <c r="A447" s="45"/>
      <c r="B447" s="45"/>
      <c r="C447" s="45"/>
      <c r="D447" s="45"/>
      <c r="E447" s="45"/>
      <c r="F447" s="45"/>
      <c r="G447" s="45"/>
      <c r="H447" s="45"/>
      <c r="I447" s="45"/>
      <c r="J447" s="45"/>
      <c r="K447" s="45"/>
      <c r="L447" s="45"/>
      <c r="M447" s="45"/>
      <c r="N447" s="45"/>
    </row>
    <row r="448" ht="22.5" customHeight="1">
      <c r="A448" s="45"/>
      <c r="B448" s="45"/>
      <c r="C448" s="45"/>
      <c r="D448" s="45"/>
      <c r="E448" s="45"/>
      <c r="F448" s="45"/>
      <c r="G448" s="45"/>
      <c r="H448" s="45"/>
      <c r="I448" s="45"/>
      <c r="J448" s="45"/>
      <c r="K448" s="45"/>
      <c r="L448" s="45"/>
      <c r="M448" s="45"/>
      <c r="N448" s="45"/>
    </row>
    <row r="449" ht="22.5" customHeight="1">
      <c r="A449" s="45"/>
      <c r="B449" s="45"/>
      <c r="C449" s="45"/>
      <c r="D449" s="45"/>
      <c r="E449" s="45"/>
      <c r="F449" s="45"/>
      <c r="G449" s="45"/>
      <c r="H449" s="45"/>
      <c r="I449" s="45"/>
      <c r="J449" s="45"/>
      <c r="K449" s="45"/>
      <c r="L449" s="45"/>
      <c r="M449" s="45"/>
      <c r="N449" s="45"/>
    </row>
    <row r="450" ht="22.5" customHeight="1">
      <c r="A450" s="45"/>
      <c r="B450" s="45"/>
      <c r="C450" s="45"/>
      <c r="D450" s="45"/>
      <c r="E450" s="45"/>
      <c r="F450" s="45"/>
      <c r="G450" s="45"/>
      <c r="H450" s="45"/>
      <c r="I450" s="45"/>
      <c r="J450" s="45"/>
      <c r="K450" s="45"/>
      <c r="L450" s="45"/>
      <c r="M450" s="45"/>
      <c r="N450" s="45"/>
    </row>
    <row r="451" ht="22.5" customHeight="1">
      <c r="A451" s="45"/>
      <c r="B451" s="45"/>
      <c r="C451" s="45"/>
      <c r="D451" s="45"/>
      <c r="E451" s="45"/>
      <c r="F451" s="45"/>
      <c r="G451" s="45"/>
      <c r="H451" s="45"/>
      <c r="I451" s="45"/>
      <c r="J451" s="45"/>
      <c r="K451" s="45"/>
      <c r="L451" s="45"/>
      <c r="M451" s="45"/>
      <c r="N451" s="45"/>
    </row>
    <row r="452" ht="22.5" customHeight="1">
      <c r="A452" s="45"/>
      <c r="B452" s="45"/>
      <c r="C452" s="45"/>
      <c r="D452" s="45"/>
      <c r="E452" s="45"/>
      <c r="F452" s="45"/>
      <c r="G452" s="45"/>
      <c r="H452" s="45"/>
      <c r="I452" s="45"/>
      <c r="J452" s="45"/>
      <c r="K452" s="45"/>
      <c r="L452" s="45"/>
      <c r="M452" s="45"/>
      <c r="N452" s="45"/>
    </row>
    <row r="453" ht="22.5" customHeight="1">
      <c r="A453" s="45"/>
      <c r="B453" s="45"/>
      <c r="C453" s="45"/>
      <c r="D453" s="45"/>
      <c r="E453" s="45"/>
      <c r="F453" s="45"/>
      <c r="G453" s="45"/>
      <c r="H453" s="45"/>
      <c r="I453" s="45"/>
      <c r="J453" s="45"/>
      <c r="K453" s="45"/>
      <c r="L453" s="45"/>
      <c r="M453" s="45"/>
      <c r="N453" s="45"/>
    </row>
    <row r="454" ht="22.5" customHeight="1">
      <c r="A454" s="45"/>
      <c r="B454" s="45"/>
      <c r="C454" s="45"/>
      <c r="D454" s="45"/>
      <c r="E454" s="45"/>
      <c r="F454" s="45"/>
      <c r="G454" s="45"/>
      <c r="H454" s="45"/>
      <c r="I454" s="45"/>
      <c r="J454" s="45"/>
      <c r="K454" s="45"/>
      <c r="L454" s="45"/>
      <c r="M454" s="45"/>
      <c r="N454" s="45"/>
    </row>
    <row r="455" ht="22.5" customHeight="1">
      <c r="A455" s="45"/>
      <c r="B455" s="45"/>
      <c r="C455" s="45"/>
      <c r="D455" s="45"/>
      <c r="E455" s="45"/>
      <c r="F455" s="45"/>
      <c r="G455" s="45"/>
      <c r="H455" s="45"/>
      <c r="I455" s="45"/>
      <c r="J455" s="45"/>
      <c r="K455" s="45"/>
      <c r="L455" s="45"/>
      <c r="M455" s="45"/>
      <c r="N455" s="45"/>
    </row>
    <row r="456" ht="22.5" customHeight="1">
      <c r="A456" s="45"/>
      <c r="B456" s="45"/>
      <c r="C456" s="45"/>
      <c r="D456" s="45"/>
      <c r="E456" s="45"/>
      <c r="F456" s="45"/>
      <c r="G456" s="45"/>
      <c r="H456" s="45"/>
      <c r="I456" s="45"/>
      <c r="J456" s="45"/>
      <c r="K456" s="45"/>
      <c r="L456" s="45"/>
      <c r="M456" s="45"/>
      <c r="N456" s="45"/>
    </row>
    <row r="457" ht="22.5" customHeight="1">
      <c r="A457" s="45"/>
      <c r="B457" s="45"/>
      <c r="C457" s="45"/>
      <c r="D457" s="45"/>
      <c r="E457" s="45"/>
      <c r="F457" s="45"/>
      <c r="G457" s="45"/>
      <c r="H457" s="45"/>
      <c r="I457" s="45"/>
      <c r="J457" s="45"/>
      <c r="K457" s="45"/>
      <c r="L457" s="45"/>
      <c r="M457" s="45"/>
      <c r="N457" s="45"/>
    </row>
    <row r="458" ht="22.5" customHeight="1">
      <c r="A458" s="45"/>
      <c r="B458" s="45"/>
      <c r="C458" s="45"/>
      <c r="D458" s="45"/>
      <c r="E458" s="45"/>
      <c r="F458" s="45"/>
      <c r="G458" s="45"/>
      <c r="H458" s="45"/>
      <c r="I458" s="45"/>
      <c r="J458" s="45"/>
      <c r="K458" s="45"/>
      <c r="L458" s="45"/>
      <c r="M458" s="45"/>
      <c r="N458" s="45"/>
    </row>
    <row r="459" ht="22.5" customHeight="1">
      <c r="A459" s="45"/>
      <c r="B459" s="45"/>
      <c r="C459" s="45"/>
      <c r="D459" s="45"/>
      <c r="E459" s="45"/>
      <c r="F459" s="45"/>
      <c r="G459" s="45"/>
      <c r="H459" s="45"/>
      <c r="I459" s="45"/>
      <c r="J459" s="45"/>
      <c r="K459" s="45"/>
      <c r="L459" s="45"/>
      <c r="M459" s="45"/>
      <c r="N459" s="45"/>
    </row>
    <row r="460" ht="22.5" customHeight="1">
      <c r="A460" s="45"/>
      <c r="B460" s="45"/>
      <c r="C460" s="45"/>
      <c r="D460" s="45"/>
      <c r="E460" s="45"/>
      <c r="F460" s="45"/>
      <c r="G460" s="45"/>
      <c r="H460" s="45"/>
      <c r="I460" s="45"/>
      <c r="J460" s="45"/>
      <c r="K460" s="45"/>
      <c r="L460" s="45"/>
      <c r="M460" s="45"/>
      <c r="N460" s="45"/>
    </row>
    <row r="461" ht="22.5" customHeight="1">
      <c r="A461" s="45"/>
      <c r="B461" s="45"/>
      <c r="C461" s="45"/>
      <c r="D461" s="45"/>
      <c r="E461" s="45"/>
      <c r="F461" s="45"/>
      <c r="G461" s="45"/>
      <c r="H461" s="45"/>
      <c r="I461" s="45"/>
      <c r="J461" s="45"/>
      <c r="K461" s="45"/>
      <c r="L461" s="45"/>
      <c r="M461" s="45"/>
      <c r="N461" s="45"/>
    </row>
    <row r="462" ht="22.5" customHeight="1">
      <c r="A462" s="45"/>
      <c r="B462" s="45"/>
      <c r="C462" s="45"/>
      <c r="D462" s="45"/>
      <c r="E462" s="45"/>
      <c r="F462" s="45"/>
      <c r="G462" s="45"/>
      <c r="H462" s="45"/>
      <c r="I462" s="45"/>
      <c r="J462" s="45"/>
      <c r="K462" s="45"/>
      <c r="L462" s="45"/>
      <c r="M462" s="45"/>
      <c r="N462" s="45"/>
    </row>
    <row r="463" ht="22.5" customHeight="1">
      <c r="A463" s="45"/>
      <c r="B463" s="45"/>
      <c r="C463" s="45"/>
      <c r="D463" s="45"/>
      <c r="E463" s="45"/>
      <c r="F463" s="45"/>
      <c r="G463" s="45"/>
      <c r="H463" s="45"/>
      <c r="I463" s="45"/>
      <c r="J463" s="45"/>
      <c r="K463" s="45"/>
      <c r="L463" s="45"/>
      <c r="M463" s="45"/>
      <c r="N463" s="45"/>
    </row>
    <row r="464" ht="22.5" customHeight="1">
      <c r="A464" s="45"/>
      <c r="B464" s="45"/>
      <c r="C464" s="45"/>
      <c r="D464" s="45"/>
      <c r="E464" s="45"/>
      <c r="F464" s="45"/>
      <c r="G464" s="45"/>
      <c r="H464" s="45"/>
      <c r="I464" s="45"/>
      <c r="J464" s="45"/>
      <c r="K464" s="45"/>
      <c r="L464" s="45"/>
      <c r="M464" s="45"/>
      <c r="N464" s="45"/>
    </row>
    <row r="465" ht="22.5" customHeight="1">
      <c r="A465" s="45"/>
      <c r="B465" s="45"/>
      <c r="C465" s="45"/>
      <c r="D465" s="45"/>
      <c r="E465" s="45"/>
      <c r="F465" s="45"/>
      <c r="G465" s="45"/>
      <c r="H465" s="45"/>
      <c r="I465" s="45"/>
      <c r="J465" s="45"/>
      <c r="K465" s="45"/>
      <c r="L465" s="45"/>
      <c r="M465" s="45"/>
      <c r="N465" s="45"/>
    </row>
    <row r="466" ht="22.5" customHeight="1">
      <c r="A466" s="45"/>
      <c r="B466" s="45"/>
      <c r="C466" s="45"/>
      <c r="D466" s="45"/>
      <c r="E466" s="45"/>
      <c r="F466" s="45"/>
      <c r="G466" s="45"/>
      <c r="H466" s="45"/>
      <c r="I466" s="45"/>
      <c r="J466" s="45"/>
      <c r="K466" s="45"/>
      <c r="L466" s="45"/>
      <c r="M466" s="45"/>
      <c r="N466" s="45"/>
    </row>
    <row r="467" ht="22.5" customHeight="1">
      <c r="A467" s="45"/>
      <c r="B467" s="45"/>
      <c r="C467" s="45"/>
      <c r="D467" s="45"/>
      <c r="E467" s="45"/>
      <c r="F467" s="45"/>
      <c r="G467" s="45"/>
      <c r="H467" s="45"/>
      <c r="I467" s="45"/>
      <c r="J467" s="45"/>
      <c r="K467" s="45"/>
      <c r="L467" s="45"/>
      <c r="M467" s="45"/>
      <c r="N467" s="45"/>
    </row>
    <row r="468" ht="22.5" customHeight="1">
      <c r="A468" s="45"/>
      <c r="B468" s="45"/>
      <c r="C468" s="45"/>
      <c r="D468" s="45"/>
      <c r="E468" s="45"/>
      <c r="F468" s="45"/>
      <c r="G468" s="45"/>
      <c r="H468" s="45"/>
      <c r="I468" s="45"/>
      <c r="J468" s="45"/>
      <c r="K468" s="45"/>
      <c r="L468" s="45"/>
      <c r="M468" s="45"/>
      <c r="N468" s="45"/>
    </row>
    <row r="469" ht="22.5" customHeight="1">
      <c r="A469" s="45"/>
      <c r="B469" s="45"/>
      <c r="C469" s="45"/>
      <c r="D469" s="45"/>
      <c r="E469" s="45"/>
      <c r="F469" s="45"/>
      <c r="G469" s="45"/>
      <c r="H469" s="45"/>
      <c r="I469" s="45"/>
      <c r="J469" s="45"/>
      <c r="K469" s="45"/>
      <c r="L469" s="45"/>
      <c r="M469" s="45"/>
      <c r="N469" s="45"/>
    </row>
    <row r="470" ht="22.5" customHeight="1">
      <c r="A470" s="45"/>
      <c r="B470" s="45"/>
      <c r="C470" s="45"/>
      <c r="D470" s="45"/>
      <c r="E470" s="45"/>
      <c r="F470" s="45"/>
      <c r="G470" s="45"/>
      <c r="H470" s="45"/>
      <c r="I470" s="45"/>
      <c r="J470" s="45"/>
      <c r="K470" s="45"/>
      <c r="L470" s="45"/>
      <c r="M470" s="45"/>
      <c r="N470" s="45"/>
    </row>
    <row r="471" ht="22.5" customHeight="1">
      <c r="A471" s="45"/>
      <c r="B471" s="45"/>
      <c r="C471" s="45"/>
      <c r="D471" s="45"/>
      <c r="E471" s="45"/>
      <c r="F471" s="45"/>
      <c r="G471" s="45"/>
      <c r="H471" s="45"/>
      <c r="I471" s="45"/>
      <c r="J471" s="45"/>
      <c r="K471" s="45"/>
      <c r="L471" s="45"/>
      <c r="M471" s="45"/>
      <c r="N471" s="45"/>
    </row>
    <row r="472" ht="22.5" customHeight="1">
      <c r="A472" s="45"/>
      <c r="B472" s="45"/>
      <c r="C472" s="45"/>
      <c r="D472" s="45"/>
      <c r="E472" s="45"/>
      <c r="F472" s="45"/>
      <c r="G472" s="45"/>
      <c r="H472" s="45"/>
      <c r="I472" s="45"/>
      <c r="J472" s="45"/>
      <c r="K472" s="45"/>
      <c r="L472" s="45"/>
      <c r="M472" s="45"/>
      <c r="N472" s="45"/>
    </row>
    <row r="473" ht="22.5" customHeight="1">
      <c r="A473" s="45"/>
      <c r="B473" s="45"/>
      <c r="C473" s="45"/>
      <c r="D473" s="45"/>
      <c r="E473" s="45"/>
      <c r="F473" s="45"/>
      <c r="G473" s="45"/>
      <c r="H473" s="45"/>
      <c r="I473" s="45"/>
      <c r="J473" s="45"/>
      <c r="K473" s="45"/>
      <c r="L473" s="45"/>
      <c r="M473" s="45"/>
      <c r="N473" s="45"/>
    </row>
    <row r="474" ht="22.5" customHeight="1">
      <c r="A474" s="45"/>
      <c r="B474" s="45"/>
      <c r="C474" s="45"/>
      <c r="D474" s="45"/>
      <c r="E474" s="45"/>
      <c r="F474" s="45"/>
      <c r="G474" s="45"/>
      <c r="H474" s="45"/>
      <c r="I474" s="45"/>
      <c r="J474" s="45"/>
      <c r="K474" s="45"/>
      <c r="L474" s="45"/>
      <c r="M474" s="45"/>
      <c r="N474" s="45"/>
    </row>
    <row r="475" ht="22.5" customHeight="1">
      <c r="A475" s="45"/>
      <c r="B475" s="45"/>
      <c r="C475" s="45"/>
      <c r="D475" s="45"/>
      <c r="E475" s="45"/>
      <c r="F475" s="45"/>
      <c r="G475" s="45"/>
      <c r="H475" s="45"/>
      <c r="I475" s="45"/>
      <c r="J475" s="45"/>
      <c r="K475" s="45"/>
      <c r="L475" s="45"/>
      <c r="M475" s="45"/>
      <c r="N475" s="45"/>
    </row>
    <row r="476" ht="22.5" customHeight="1">
      <c r="A476" s="45"/>
      <c r="B476" s="45"/>
      <c r="C476" s="45"/>
      <c r="D476" s="45"/>
      <c r="E476" s="45"/>
      <c r="F476" s="45"/>
      <c r="G476" s="45"/>
      <c r="H476" s="45"/>
      <c r="I476" s="45"/>
      <c r="J476" s="45"/>
      <c r="K476" s="45"/>
      <c r="L476" s="45"/>
      <c r="M476" s="45"/>
      <c r="N476" s="45"/>
    </row>
    <row r="477" ht="22.5" customHeight="1">
      <c r="A477" s="45"/>
      <c r="B477" s="45"/>
      <c r="C477" s="45"/>
      <c r="D477" s="45"/>
      <c r="E477" s="45"/>
      <c r="F477" s="45"/>
      <c r="G477" s="45"/>
      <c r="H477" s="45"/>
      <c r="I477" s="45"/>
      <c r="J477" s="45"/>
      <c r="K477" s="45"/>
      <c r="L477" s="45"/>
      <c r="M477" s="45"/>
      <c r="N477" s="45"/>
    </row>
    <row r="478" ht="22.5" customHeight="1">
      <c r="A478" s="45"/>
      <c r="B478" s="45"/>
      <c r="C478" s="45"/>
      <c r="D478" s="45"/>
      <c r="E478" s="45"/>
      <c r="F478" s="45"/>
      <c r="G478" s="45"/>
      <c r="H478" s="45"/>
      <c r="I478" s="45"/>
      <c r="J478" s="45"/>
      <c r="K478" s="45"/>
      <c r="L478" s="45"/>
      <c r="M478" s="45"/>
      <c r="N478" s="45"/>
    </row>
    <row r="479" ht="22.5" customHeight="1">
      <c r="A479" s="45"/>
      <c r="B479" s="45"/>
      <c r="C479" s="45"/>
      <c r="D479" s="45"/>
      <c r="E479" s="45"/>
      <c r="F479" s="45"/>
      <c r="G479" s="45"/>
      <c r="H479" s="45"/>
      <c r="I479" s="45"/>
      <c r="J479" s="45"/>
      <c r="K479" s="45"/>
      <c r="L479" s="45"/>
      <c r="M479" s="45"/>
      <c r="N479" s="45"/>
    </row>
    <row r="480" ht="22.5" customHeight="1">
      <c r="A480" s="45"/>
      <c r="B480" s="45"/>
      <c r="C480" s="45"/>
      <c r="D480" s="45"/>
      <c r="E480" s="45"/>
      <c r="F480" s="45"/>
      <c r="G480" s="45"/>
      <c r="H480" s="45"/>
      <c r="I480" s="45"/>
      <c r="J480" s="45"/>
      <c r="K480" s="45"/>
      <c r="L480" s="45"/>
      <c r="M480" s="45"/>
      <c r="N480" s="45"/>
    </row>
    <row r="481" ht="22.5" customHeight="1">
      <c r="A481" s="45"/>
      <c r="B481" s="45"/>
      <c r="C481" s="45"/>
      <c r="D481" s="45"/>
      <c r="E481" s="45"/>
      <c r="F481" s="45"/>
      <c r="G481" s="45"/>
      <c r="H481" s="45"/>
      <c r="I481" s="45"/>
      <c r="J481" s="45"/>
      <c r="K481" s="45"/>
      <c r="L481" s="45"/>
      <c r="M481" s="45"/>
      <c r="N481" s="45"/>
    </row>
    <row r="482" ht="22.5" customHeight="1">
      <c r="A482" s="45"/>
      <c r="B482" s="45"/>
      <c r="C482" s="45"/>
      <c r="D482" s="45"/>
      <c r="E482" s="45"/>
      <c r="F482" s="45"/>
      <c r="G482" s="45"/>
      <c r="H482" s="45"/>
      <c r="I482" s="45"/>
      <c r="J482" s="45"/>
      <c r="K482" s="45"/>
      <c r="L482" s="45"/>
      <c r="M482" s="45"/>
      <c r="N482" s="45"/>
    </row>
    <row r="483" ht="22.5" customHeight="1">
      <c r="A483" s="45"/>
      <c r="B483" s="45"/>
      <c r="C483" s="45"/>
      <c r="D483" s="45"/>
      <c r="E483" s="45"/>
      <c r="F483" s="45"/>
      <c r="G483" s="45"/>
      <c r="H483" s="45"/>
      <c r="I483" s="45"/>
      <c r="J483" s="45"/>
      <c r="K483" s="45"/>
      <c r="L483" s="45"/>
      <c r="M483" s="45"/>
      <c r="N483" s="45"/>
    </row>
    <row r="484" ht="22.5" customHeight="1">
      <c r="A484" s="45"/>
      <c r="B484" s="45"/>
      <c r="C484" s="45"/>
      <c r="D484" s="45"/>
      <c r="E484" s="45"/>
      <c r="F484" s="45"/>
      <c r="G484" s="45"/>
      <c r="H484" s="45"/>
      <c r="I484" s="45"/>
      <c r="J484" s="45"/>
      <c r="K484" s="45"/>
      <c r="L484" s="45"/>
      <c r="M484" s="45"/>
      <c r="N484" s="45"/>
    </row>
    <row r="485" ht="22.5" customHeight="1">
      <c r="A485" s="45"/>
      <c r="B485" s="45"/>
      <c r="C485" s="45"/>
      <c r="D485" s="45"/>
      <c r="E485" s="45"/>
      <c r="F485" s="45"/>
      <c r="G485" s="45"/>
      <c r="H485" s="45"/>
      <c r="I485" s="45"/>
      <c r="J485" s="45"/>
      <c r="K485" s="45"/>
      <c r="L485" s="45"/>
      <c r="M485" s="45"/>
      <c r="N485" s="45"/>
    </row>
    <row r="486" ht="22.5" customHeight="1">
      <c r="A486" s="45"/>
      <c r="B486" s="45"/>
      <c r="C486" s="45"/>
      <c r="D486" s="45"/>
      <c r="E486" s="45"/>
      <c r="F486" s="45"/>
      <c r="G486" s="45"/>
      <c r="H486" s="45"/>
      <c r="I486" s="45"/>
      <c r="J486" s="45"/>
      <c r="K486" s="45"/>
      <c r="L486" s="45"/>
      <c r="M486" s="45"/>
      <c r="N486" s="45"/>
    </row>
    <row r="487" ht="22.5" customHeight="1">
      <c r="A487" s="45"/>
      <c r="B487" s="45"/>
      <c r="C487" s="45"/>
      <c r="D487" s="45"/>
      <c r="E487" s="45"/>
      <c r="F487" s="45"/>
      <c r="G487" s="45"/>
      <c r="H487" s="45"/>
      <c r="I487" s="45"/>
      <c r="J487" s="45"/>
      <c r="K487" s="45"/>
      <c r="L487" s="45"/>
      <c r="M487" s="45"/>
      <c r="N487" s="45"/>
    </row>
    <row r="488" ht="22.5" customHeight="1">
      <c r="A488" s="45"/>
      <c r="B488" s="45"/>
      <c r="C488" s="45"/>
      <c r="D488" s="45"/>
      <c r="E488" s="45"/>
      <c r="F488" s="45"/>
      <c r="G488" s="45"/>
      <c r="H488" s="45"/>
      <c r="I488" s="45"/>
      <c r="J488" s="45"/>
      <c r="K488" s="45"/>
      <c r="L488" s="45"/>
      <c r="M488" s="45"/>
      <c r="N488" s="45"/>
    </row>
    <row r="489" ht="22.5" customHeight="1">
      <c r="A489" s="45"/>
      <c r="B489" s="45"/>
      <c r="C489" s="45"/>
      <c r="D489" s="45"/>
      <c r="E489" s="45"/>
      <c r="F489" s="45"/>
      <c r="G489" s="45"/>
      <c r="H489" s="45"/>
      <c r="I489" s="45"/>
      <c r="J489" s="45"/>
      <c r="K489" s="45"/>
      <c r="L489" s="45"/>
      <c r="M489" s="45"/>
      <c r="N489" s="45"/>
    </row>
    <row r="490" ht="22.5" customHeight="1">
      <c r="A490" s="45"/>
      <c r="B490" s="45"/>
      <c r="C490" s="45"/>
      <c r="D490" s="45"/>
      <c r="E490" s="45"/>
      <c r="F490" s="45"/>
      <c r="G490" s="45"/>
      <c r="H490" s="45"/>
      <c r="I490" s="45"/>
      <c r="J490" s="45"/>
      <c r="K490" s="45"/>
      <c r="L490" s="45"/>
      <c r="M490" s="45"/>
      <c r="N490" s="45"/>
    </row>
    <row r="491" ht="22.5" customHeight="1">
      <c r="A491" s="45"/>
      <c r="B491" s="45"/>
      <c r="C491" s="45"/>
      <c r="D491" s="45"/>
      <c r="E491" s="45"/>
      <c r="F491" s="45"/>
      <c r="G491" s="45"/>
      <c r="H491" s="45"/>
      <c r="I491" s="45"/>
      <c r="J491" s="45"/>
      <c r="K491" s="45"/>
      <c r="L491" s="45"/>
      <c r="M491" s="45"/>
      <c r="N491" s="45"/>
    </row>
    <row r="492" ht="22.5" customHeight="1">
      <c r="A492" s="45"/>
      <c r="B492" s="45"/>
      <c r="C492" s="45"/>
      <c r="D492" s="45"/>
      <c r="E492" s="45"/>
      <c r="F492" s="45"/>
      <c r="G492" s="45"/>
      <c r="H492" s="45"/>
      <c r="I492" s="45"/>
      <c r="J492" s="45"/>
      <c r="K492" s="45"/>
      <c r="L492" s="45"/>
      <c r="M492" s="45"/>
      <c r="N492" s="45"/>
    </row>
    <row r="493" ht="22.5" customHeight="1">
      <c r="A493" s="45"/>
      <c r="B493" s="45"/>
      <c r="C493" s="45"/>
      <c r="D493" s="45"/>
      <c r="E493" s="45"/>
      <c r="F493" s="45"/>
      <c r="G493" s="45"/>
      <c r="H493" s="45"/>
      <c r="I493" s="45"/>
      <c r="J493" s="45"/>
      <c r="K493" s="45"/>
      <c r="L493" s="45"/>
      <c r="M493" s="45"/>
      <c r="N493" s="45"/>
    </row>
    <row r="494" ht="22.5" customHeight="1">
      <c r="A494" s="45"/>
      <c r="B494" s="45"/>
      <c r="C494" s="45"/>
      <c r="D494" s="45"/>
      <c r="E494" s="45"/>
      <c r="F494" s="45"/>
      <c r="G494" s="45"/>
      <c r="H494" s="45"/>
      <c r="I494" s="45"/>
      <c r="J494" s="45"/>
      <c r="K494" s="45"/>
      <c r="L494" s="45"/>
      <c r="M494" s="45"/>
      <c r="N494" s="45"/>
    </row>
    <row r="495" ht="22.5" customHeight="1">
      <c r="A495" s="45"/>
      <c r="B495" s="45"/>
      <c r="C495" s="45"/>
      <c r="D495" s="45"/>
      <c r="E495" s="45"/>
      <c r="F495" s="45"/>
      <c r="G495" s="45"/>
      <c r="H495" s="45"/>
      <c r="I495" s="45"/>
      <c r="J495" s="45"/>
      <c r="K495" s="45"/>
      <c r="L495" s="45"/>
      <c r="M495" s="45"/>
      <c r="N495" s="45"/>
    </row>
    <row r="496" ht="22.5" customHeight="1">
      <c r="A496" s="45"/>
      <c r="B496" s="45"/>
      <c r="C496" s="45"/>
      <c r="D496" s="45"/>
      <c r="E496" s="45"/>
      <c r="F496" s="45"/>
      <c r="G496" s="45"/>
      <c r="H496" s="45"/>
      <c r="I496" s="45"/>
      <c r="J496" s="45"/>
      <c r="K496" s="45"/>
      <c r="L496" s="45"/>
      <c r="M496" s="45"/>
      <c r="N496" s="45"/>
    </row>
    <row r="497" ht="22.5" customHeight="1">
      <c r="A497" s="45"/>
      <c r="B497" s="45"/>
      <c r="C497" s="45"/>
      <c r="D497" s="45"/>
      <c r="E497" s="45"/>
      <c r="F497" s="45"/>
      <c r="G497" s="45"/>
      <c r="H497" s="45"/>
      <c r="I497" s="45"/>
      <c r="J497" s="45"/>
      <c r="K497" s="45"/>
      <c r="L497" s="45"/>
      <c r="M497" s="45"/>
      <c r="N497" s="45"/>
    </row>
    <row r="498" ht="22.5" customHeight="1">
      <c r="A498" s="45"/>
      <c r="B498" s="45"/>
      <c r="C498" s="45"/>
      <c r="D498" s="45"/>
      <c r="E498" s="45"/>
      <c r="F498" s="45"/>
      <c r="G498" s="45"/>
      <c r="H498" s="45"/>
      <c r="I498" s="45"/>
      <c r="J498" s="45"/>
      <c r="K498" s="45"/>
      <c r="L498" s="45"/>
      <c r="M498" s="45"/>
      <c r="N498" s="45"/>
    </row>
    <row r="499" ht="22.5" customHeight="1">
      <c r="A499" s="45"/>
      <c r="B499" s="45"/>
      <c r="C499" s="45"/>
      <c r="D499" s="45"/>
      <c r="E499" s="45"/>
      <c r="F499" s="45"/>
      <c r="G499" s="45"/>
      <c r="H499" s="45"/>
      <c r="I499" s="45"/>
      <c r="J499" s="45"/>
      <c r="K499" s="45"/>
      <c r="L499" s="45"/>
      <c r="M499" s="45"/>
      <c r="N499" s="45"/>
    </row>
    <row r="500" ht="22.5" customHeight="1">
      <c r="A500" s="45"/>
      <c r="B500" s="45"/>
      <c r="C500" s="45"/>
      <c r="D500" s="45"/>
      <c r="E500" s="45"/>
      <c r="F500" s="45"/>
      <c r="G500" s="45"/>
      <c r="H500" s="45"/>
      <c r="I500" s="45"/>
      <c r="J500" s="45"/>
      <c r="K500" s="45"/>
      <c r="L500" s="45"/>
      <c r="M500" s="45"/>
      <c r="N500" s="45"/>
    </row>
    <row r="501" ht="22.5" customHeight="1">
      <c r="A501" s="45"/>
      <c r="B501" s="45"/>
      <c r="C501" s="45"/>
      <c r="D501" s="45"/>
      <c r="E501" s="45"/>
      <c r="F501" s="45"/>
      <c r="G501" s="45"/>
      <c r="H501" s="45"/>
      <c r="I501" s="45"/>
      <c r="J501" s="45"/>
      <c r="K501" s="45"/>
      <c r="L501" s="45"/>
      <c r="M501" s="45"/>
      <c r="N501" s="45"/>
    </row>
    <row r="502" ht="22.5" customHeight="1">
      <c r="A502" s="45"/>
      <c r="B502" s="45"/>
      <c r="C502" s="45"/>
      <c r="D502" s="45"/>
      <c r="E502" s="45"/>
      <c r="F502" s="45"/>
      <c r="G502" s="45"/>
      <c r="H502" s="45"/>
      <c r="I502" s="45"/>
      <c r="J502" s="45"/>
      <c r="K502" s="45"/>
      <c r="L502" s="45"/>
      <c r="M502" s="45"/>
      <c r="N502" s="45"/>
    </row>
    <row r="503" ht="22.5" customHeight="1">
      <c r="A503" s="45"/>
      <c r="B503" s="45"/>
      <c r="C503" s="45"/>
      <c r="D503" s="45"/>
      <c r="E503" s="45"/>
      <c r="F503" s="45"/>
      <c r="G503" s="45"/>
      <c r="H503" s="45"/>
      <c r="I503" s="45"/>
      <c r="J503" s="45"/>
      <c r="K503" s="45"/>
      <c r="L503" s="45"/>
      <c r="M503" s="45"/>
      <c r="N503" s="45"/>
    </row>
    <row r="504" ht="22.5" customHeight="1">
      <c r="A504" s="45"/>
      <c r="B504" s="45"/>
      <c r="C504" s="45"/>
      <c r="D504" s="45"/>
      <c r="E504" s="45"/>
      <c r="F504" s="45"/>
      <c r="G504" s="45"/>
      <c r="H504" s="45"/>
      <c r="I504" s="45"/>
      <c r="J504" s="45"/>
      <c r="K504" s="45"/>
      <c r="L504" s="45"/>
      <c r="M504" s="45"/>
      <c r="N504" s="45"/>
    </row>
    <row r="505" ht="22.5" customHeight="1">
      <c r="A505" s="45"/>
      <c r="B505" s="45"/>
      <c r="C505" s="45"/>
      <c r="D505" s="45"/>
      <c r="E505" s="45"/>
      <c r="F505" s="45"/>
      <c r="G505" s="45"/>
      <c r="H505" s="45"/>
      <c r="I505" s="45"/>
      <c r="J505" s="45"/>
      <c r="K505" s="45"/>
      <c r="L505" s="45"/>
      <c r="M505" s="45"/>
      <c r="N505" s="45"/>
    </row>
    <row r="506" ht="22.5" customHeight="1">
      <c r="A506" s="45"/>
      <c r="B506" s="45"/>
      <c r="C506" s="45"/>
      <c r="D506" s="45"/>
      <c r="E506" s="45"/>
      <c r="F506" s="45"/>
      <c r="G506" s="45"/>
      <c r="H506" s="45"/>
      <c r="I506" s="45"/>
      <c r="J506" s="45"/>
      <c r="K506" s="45"/>
      <c r="L506" s="45"/>
      <c r="M506" s="45"/>
      <c r="N506" s="45"/>
    </row>
    <row r="507" ht="22.5" customHeight="1">
      <c r="A507" s="45"/>
      <c r="B507" s="45"/>
      <c r="C507" s="45"/>
      <c r="D507" s="45"/>
      <c r="E507" s="45"/>
      <c r="F507" s="45"/>
      <c r="G507" s="45"/>
      <c r="H507" s="45"/>
      <c r="I507" s="45"/>
      <c r="J507" s="45"/>
      <c r="K507" s="45"/>
      <c r="L507" s="45"/>
      <c r="M507" s="45"/>
      <c r="N507" s="45"/>
    </row>
    <row r="508" ht="22.5" customHeight="1">
      <c r="A508" s="45"/>
      <c r="B508" s="45"/>
      <c r="C508" s="45"/>
      <c r="D508" s="45"/>
      <c r="E508" s="45"/>
      <c r="F508" s="45"/>
      <c r="G508" s="45"/>
      <c r="H508" s="45"/>
      <c r="I508" s="45"/>
      <c r="J508" s="45"/>
      <c r="K508" s="45"/>
      <c r="L508" s="45"/>
      <c r="M508" s="45"/>
      <c r="N508" s="45"/>
    </row>
    <row r="509" ht="22.5" customHeight="1">
      <c r="A509" s="45"/>
      <c r="B509" s="45"/>
      <c r="C509" s="45"/>
      <c r="D509" s="45"/>
      <c r="E509" s="45"/>
      <c r="F509" s="45"/>
      <c r="G509" s="45"/>
      <c r="H509" s="45"/>
      <c r="I509" s="45"/>
      <c r="J509" s="45"/>
      <c r="K509" s="45"/>
      <c r="L509" s="45"/>
      <c r="M509" s="45"/>
      <c r="N509" s="45"/>
    </row>
    <row r="510" ht="22.5" customHeight="1">
      <c r="A510" s="45"/>
      <c r="B510" s="45"/>
      <c r="C510" s="45"/>
      <c r="D510" s="45"/>
      <c r="E510" s="45"/>
      <c r="F510" s="45"/>
      <c r="G510" s="45"/>
      <c r="H510" s="45"/>
      <c r="I510" s="45"/>
      <c r="J510" s="45"/>
      <c r="K510" s="45"/>
      <c r="L510" s="45"/>
      <c r="M510" s="45"/>
      <c r="N510" s="45"/>
    </row>
    <row r="511" ht="22.5" customHeight="1">
      <c r="A511" s="45"/>
      <c r="B511" s="45"/>
      <c r="C511" s="45"/>
      <c r="D511" s="45"/>
      <c r="E511" s="45"/>
      <c r="F511" s="45"/>
      <c r="G511" s="45"/>
      <c r="H511" s="45"/>
      <c r="I511" s="45"/>
      <c r="J511" s="45"/>
      <c r="K511" s="45"/>
      <c r="L511" s="45"/>
      <c r="M511" s="45"/>
      <c r="N511" s="45"/>
    </row>
    <row r="512" ht="22.5" customHeight="1">
      <c r="A512" s="45"/>
      <c r="B512" s="45"/>
      <c r="C512" s="45"/>
      <c r="D512" s="45"/>
      <c r="E512" s="45"/>
      <c r="F512" s="45"/>
      <c r="G512" s="45"/>
      <c r="H512" s="45"/>
      <c r="I512" s="45"/>
      <c r="J512" s="45"/>
      <c r="K512" s="45"/>
      <c r="L512" s="45"/>
      <c r="M512" s="45"/>
      <c r="N512" s="45"/>
    </row>
    <row r="513" ht="22.5" customHeight="1">
      <c r="A513" s="45"/>
      <c r="B513" s="45"/>
      <c r="C513" s="45"/>
      <c r="D513" s="45"/>
      <c r="E513" s="45"/>
      <c r="F513" s="45"/>
      <c r="G513" s="45"/>
      <c r="H513" s="45"/>
      <c r="I513" s="45"/>
      <c r="J513" s="45"/>
      <c r="K513" s="45"/>
      <c r="L513" s="45"/>
      <c r="M513" s="45"/>
      <c r="N513" s="45"/>
    </row>
    <row r="514" ht="22.5" customHeight="1">
      <c r="A514" s="45"/>
      <c r="B514" s="45"/>
      <c r="C514" s="45"/>
      <c r="D514" s="45"/>
      <c r="E514" s="45"/>
      <c r="F514" s="45"/>
      <c r="G514" s="45"/>
      <c r="H514" s="45"/>
      <c r="I514" s="45"/>
      <c r="J514" s="45"/>
      <c r="K514" s="45"/>
      <c r="L514" s="45"/>
      <c r="M514" s="45"/>
      <c r="N514" s="45"/>
    </row>
    <row r="515" ht="22.5" customHeight="1">
      <c r="A515" s="45"/>
      <c r="B515" s="45"/>
      <c r="C515" s="45"/>
      <c r="D515" s="45"/>
      <c r="E515" s="45"/>
      <c r="F515" s="45"/>
      <c r="G515" s="45"/>
      <c r="H515" s="45"/>
      <c r="I515" s="45"/>
      <c r="J515" s="45"/>
      <c r="K515" s="45"/>
      <c r="L515" s="45"/>
      <c r="M515" s="45"/>
      <c r="N515" s="45"/>
    </row>
    <row r="516" ht="22.5" customHeight="1">
      <c r="A516" s="45"/>
      <c r="B516" s="45"/>
      <c r="C516" s="45"/>
      <c r="D516" s="45"/>
      <c r="E516" s="45"/>
      <c r="F516" s="45"/>
      <c r="G516" s="45"/>
      <c r="H516" s="45"/>
      <c r="I516" s="45"/>
      <c r="J516" s="45"/>
      <c r="K516" s="45"/>
      <c r="L516" s="45"/>
      <c r="M516" s="45"/>
      <c r="N516" s="45"/>
    </row>
    <row r="517" ht="22.5" customHeight="1">
      <c r="A517" s="45"/>
      <c r="B517" s="45"/>
      <c r="C517" s="45"/>
      <c r="D517" s="45"/>
      <c r="E517" s="45"/>
      <c r="F517" s="45"/>
      <c r="G517" s="45"/>
      <c r="H517" s="45"/>
      <c r="I517" s="45"/>
      <c r="J517" s="45"/>
      <c r="K517" s="45"/>
      <c r="L517" s="45"/>
      <c r="M517" s="45"/>
      <c r="N517" s="45"/>
    </row>
    <row r="518" ht="22.5" customHeight="1">
      <c r="A518" s="45"/>
      <c r="B518" s="45"/>
      <c r="C518" s="45"/>
      <c r="D518" s="45"/>
      <c r="E518" s="45"/>
      <c r="F518" s="45"/>
      <c r="G518" s="45"/>
      <c r="H518" s="45"/>
      <c r="I518" s="45"/>
      <c r="J518" s="45"/>
      <c r="K518" s="45"/>
      <c r="L518" s="45"/>
      <c r="M518" s="45"/>
      <c r="N518" s="45"/>
    </row>
    <row r="519" ht="22.5" customHeight="1">
      <c r="A519" s="45"/>
      <c r="B519" s="45"/>
      <c r="C519" s="45"/>
      <c r="D519" s="45"/>
      <c r="E519" s="45"/>
      <c r="F519" s="45"/>
      <c r="G519" s="45"/>
      <c r="H519" s="45"/>
      <c r="I519" s="45"/>
      <c r="J519" s="45"/>
      <c r="K519" s="45"/>
      <c r="L519" s="45"/>
      <c r="M519" s="45"/>
      <c r="N519" s="45"/>
    </row>
    <row r="520" ht="22.5" customHeight="1">
      <c r="A520" s="45"/>
      <c r="B520" s="45"/>
      <c r="C520" s="45"/>
      <c r="D520" s="45"/>
      <c r="E520" s="45"/>
      <c r="F520" s="45"/>
      <c r="G520" s="45"/>
      <c r="H520" s="45"/>
      <c r="I520" s="45"/>
      <c r="J520" s="45"/>
      <c r="K520" s="45"/>
      <c r="L520" s="45"/>
      <c r="M520" s="45"/>
      <c r="N520" s="45"/>
    </row>
    <row r="521" ht="22.5" customHeight="1">
      <c r="A521" s="45"/>
      <c r="B521" s="45"/>
      <c r="C521" s="45"/>
      <c r="D521" s="45"/>
      <c r="E521" s="45"/>
      <c r="F521" s="45"/>
      <c r="G521" s="45"/>
      <c r="H521" s="45"/>
      <c r="I521" s="45"/>
      <c r="J521" s="45"/>
      <c r="K521" s="45"/>
      <c r="L521" s="45"/>
      <c r="M521" s="45"/>
      <c r="N521" s="45"/>
    </row>
    <row r="522" ht="22.5" customHeight="1">
      <c r="A522" s="45"/>
      <c r="B522" s="45"/>
      <c r="C522" s="45"/>
      <c r="D522" s="45"/>
      <c r="E522" s="45"/>
      <c r="F522" s="45"/>
      <c r="G522" s="45"/>
      <c r="H522" s="45"/>
      <c r="I522" s="45"/>
      <c r="J522" s="45"/>
      <c r="K522" s="45"/>
      <c r="L522" s="45"/>
      <c r="M522" s="45"/>
      <c r="N522" s="45"/>
    </row>
    <row r="523" ht="22.5" customHeight="1">
      <c r="A523" s="45"/>
      <c r="B523" s="45"/>
      <c r="C523" s="45"/>
      <c r="D523" s="45"/>
      <c r="E523" s="45"/>
      <c r="F523" s="45"/>
      <c r="G523" s="45"/>
      <c r="H523" s="45"/>
      <c r="I523" s="45"/>
      <c r="J523" s="45"/>
      <c r="K523" s="45"/>
      <c r="L523" s="45"/>
      <c r="M523" s="45"/>
      <c r="N523" s="45"/>
    </row>
    <row r="524" ht="22.5" customHeight="1">
      <c r="A524" s="45"/>
      <c r="B524" s="45"/>
      <c r="C524" s="45"/>
      <c r="D524" s="45"/>
      <c r="E524" s="45"/>
      <c r="F524" s="45"/>
      <c r="G524" s="45"/>
      <c r="H524" s="45"/>
      <c r="I524" s="45"/>
      <c r="J524" s="45"/>
      <c r="K524" s="45"/>
      <c r="L524" s="45"/>
      <c r="M524" s="45"/>
      <c r="N524" s="45"/>
    </row>
    <row r="525" ht="22.5" customHeight="1">
      <c r="A525" s="45"/>
      <c r="B525" s="45"/>
      <c r="C525" s="45"/>
      <c r="D525" s="45"/>
      <c r="E525" s="45"/>
      <c r="F525" s="45"/>
      <c r="G525" s="45"/>
      <c r="H525" s="45"/>
      <c r="I525" s="45"/>
      <c r="J525" s="45"/>
      <c r="K525" s="45"/>
      <c r="L525" s="45"/>
      <c r="M525" s="45"/>
      <c r="N525" s="45"/>
    </row>
    <row r="526" ht="22.5" customHeight="1">
      <c r="A526" s="45"/>
      <c r="B526" s="45"/>
      <c r="C526" s="45"/>
      <c r="D526" s="45"/>
      <c r="E526" s="45"/>
      <c r="F526" s="45"/>
      <c r="G526" s="45"/>
      <c r="H526" s="45"/>
      <c r="I526" s="45"/>
      <c r="J526" s="45"/>
      <c r="K526" s="45"/>
      <c r="L526" s="45"/>
      <c r="M526" s="45"/>
      <c r="N526" s="45"/>
    </row>
    <row r="527" ht="22.5" customHeight="1">
      <c r="A527" s="45"/>
      <c r="B527" s="45"/>
      <c r="C527" s="45"/>
      <c r="D527" s="45"/>
      <c r="E527" s="45"/>
      <c r="F527" s="45"/>
      <c r="G527" s="45"/>
      <c r="H527" s="45"/>
      <c r="I527" s="45"/>
      <c r="J527" s="45"/>
      <c r="K527" s="45"/>
      <c r="L527" s="45"/>
      <c r="M527" s="45"/>
      <c r="N527" s="45"/>
    </row>
    <row r="528" ht="22.5" customHeight="1">
      <c r="A528" s="45"/>
      <c r="B528" s="45"/>
      <c r="C528" s="45"/>
      <c r="D528" s="45"/>
      <c r="E528" s="45"/>
      <c r="F528" s="45"/>
      <c r="G528" s="45"/>
      <c r="H528" s="45"/>
      <c r="I528" s="45"/>
      <c r="J528" s="45"/>
      <c r="K528" s="45"/>
      <c r="L528" s="45"/>
      <c r="M528" s="45"/>
      <c r="N528" s="45"/>
    </row>
    <row r="529" ht="22.5" customHeight="1">
      <c r="A529" s="45"/>
      <c r="B529" s="45"/>
      <c r="C529" s="45"/>
      <c r="D529" s="45"/>
      <c r="E529" s="45"/>
      <c r="F529" s="45"/>
      <c r="G529" s="45"/>
      <c r="H529" s="45"/>
      <c r="I529" s="45"/>
      <c r="J529" s="45"/>
      <c r="K529" s="45"/>
      <c r="L529" s="45"/>
      <c r="M529" s="45"/>
      <c r="N529" s="45"/>
    </row>
    <row r="530" ht="22.5" customHeight="1">
      <c r="A530" s="45"/>
      <c r="B530" s="45"/>
      <c r="C530" s="45"/>
      <c r="D530" s="45"/>
      <c r="E530" s="45"/>
      <c r="F530" s="45"/>
      <c r="G530" s="45"/>
      <c r="H530" s="45"/>
      <c r="I530" s="45"/>
      <c r="J530" s="45"/>
      <c r="K530" s="45"/>
      <c r="L530" s="45"/>
      <c r="M530" s="45"/>
      <c r="N530" s="45"/>
    </row>
    <row r="531" ht="22.5" customHeight="1">
      <c r="A531" s="45"/>
      <c r="B531" s="45"/>
      <c r="C531" s="45"/>
      <c r="D531" s="45"/>
      <c r="E531" s="45"/>
      <c r="F531" s="45"/>
      <c r="G531" s="45"/>
      <c r="H531" s="45"/>
      <c r="I531" s="45"/>
      <c r="J531" s="45"/>
      <c r="K531" s="45"/>
      <c r="L531" s="45"/>
      <c r="M531" s="45"/>
      <c r="N531" s="45"/>
    </row>
    <row r="532" ht="22.5" customHeight="1">
      <c r="A532" s="45"/>
      <c r="B532" s="45"/>
      <c r="C532" s="45"/>
      <c r="D532" s="45"/>
      <c r="E532" s="45"/>
      <c r="F532" s="45"/>
      <c r="G532" s="45"/>
      <c r="H532" s="45"/>
      <c r="I532" s="45"/>
      <c r="J532" s="45"/>
      <c r="K532" s="45"/>
      <c r="L532" s="45"/>
      <c r="M532" s="45"/>
      <c r="N532" s="45"/>
    </row>
    <row r="533" ht="22.5" customHeight="1">
      <c r="A533" s="45"/>
      <c r="B533" s="45"/>
      <c r="C533" s="45"/>
      <c r="D533" s="45"/>
      <c r="E533" s="45"/>
      <c r="F533" s="45"/>
      <c r="G533" s="45"/>
      <c r="H533" s="45"/>
      <c r="I533" s="45"/>
      <c r="J533" s="45"/>
      <c r="K533" s="45"/>
      <c r="L533" s="45"/>
      <c r="M533" s="45"/>
      <c r="N533" s="45"/>
    </row>
    <row r="534" ht="22.5" customHeight="1">
      <c r="A534" s="45"/>
      <c r="B534" s="45"/>
      <c r="C534" s="45"/>
      <c r="D534" s="45"/>
      <c r="E534" s="45"/>
      <c r="F534" s="45"/>
      <c r="G534" s="45"/>
      <c r="H534" s="45"/>
      <c r="I534" s="45"/>
      <c r="J534" s="45"/>
      <c r="K534" s="45"/>
      <c r="L534" s="45"/>
      <c r="M534" s="45"/>
      <c r="N534" s="45"/>
    </row>
    <row r="535" ht="22.5" customHeight="1">
      <c r="A535" s="45"/>
      <c r="B535" s="45"/>
      <c r="C535" s="45"/>
      <c r="D535" s="45"/>
      <c r="E535" s="45"/>
      <c r="F535" s="45"/>
      <c r="G535" s="45"/>
      <c r="H535" s="45"/>
      <c r="I535" s="45"/>
      <c r="J535" s="45"/>
      <c r="K535" s="45"/>
      <c r="L535" s="45"/>
      <c r="M535" s="45"/>
      <c r="N535" s="45"/>
    </row>
    <row r="536" ht="22.5" customHeight="1">
      <c r="A536" s="45"/>
      <c r="B536" s="45"/>
      <c r="C536" s="45"/>
      <c r="D536" s="45"/>
      <c r="E536" s="45"/>
      <c r="F536" s="45"/>
      <c r="G536" s="45"/>
      <c r="H536" s="45"/>
      <c r="I536" s="45"/>
      <c r="J536" s="45"/>
      <c r="K536" s="45"/>
      <c r="L536" s="45"/>
      <c r="M536" s="45"/>
      <c r="N536" s="45"/>
    </row>
    <row r="537" ht="22.5" customHeight="1">
      <c r="A537" s="45"/>
      <c r="B537" s="45"/>
      <c r="C537" s="45"/>
      <c r="D537" s="45"/>
      <c r="E537" s="45"/>
      <c r="F537" s="45"/>
      <c r="G537" s="45"/>
      <c r="H537" s="45"/>
      <c r="I537" s="45"/>
      <c r="J537" s="45"/>
      <c r="K537" s="45"/>
      <c r="L537" s="45"/>
      <c r="M537" s="45"/>
      <c r="N537" s="45"/>
    </row>
    <row r="538" ht="22.5" customHeight="1">
      <c r="A538" s="45"/>
      <c r="B538" s="45"/>
      <c r="C538" s="45"/>
      <c r="D538" s="45"/>
      <c r="E538" s="45"/>
      <c r="F538" s="45"/>
      <c r="G538" s="45"/>
      <c r="H538" s="45"/>
      <c r="I538" s="45"/>
      <c r="J538" s="45"/>
      <c r="K538" s="45"/>
      <c r="L538" s="45"/>
      <c r="M538" s="45"/>
      <c r="N538" s="45"/>
    </row>
    <row r="539" ht="22.5" customHeight="1">
      <c r="A539" s="45"/>
      <c r="B539" s="45"/>
      <c r="C539" s="45"/>
      <c r="D539" s="45"/>
      <c r="E539" s="45"/>
      <c r="F539" s="45"/>
      <c r="G539" s="45"/>
      <c r="H539" s="45"/>
      <c r="I539" s="45"/>
      <c r="J539" s="45"/>
      <c r="K539" s="45"/>
      <c r="L539" s="45"/>
      <c r="M539" s="45"/>
      <c r="N539" s="45"/>
    </row>
    <row r="540" ht="22.5" customHeight="1">
      <c r="A540" s="45"/>
      <c r="B540" s="45"/>
      <c r="C540" s="45"/>
      <c r="D540" s="45"/>
      <c r="E540" s="45"/>
      <c r="F540" s="45"/>
      <c r="G540" s="45"/>
      <c r="H540" s="45"/>
      <c r="I540" s="45"/>
      <c r="J540" s="45"/>
      <c r="K540" s="45"/>
      <c r="L540" s="45"/>
      <c r="M540" s="45"/>
      <c r="N540" s="45"/>
    </row>
    <row r="541" ht="22.5" customHeight="1">
      <c r="A541" s="45"/>
      <c r="B541" s="45"/>
      <c r="C541" s="45"/>
      <c r="D541" s="45"/>
      <c r="E541" s="45"/>
      <c r="F541" s="45"/>
      <c r="G541" s="45"/>
      <c r="H541" s="45"/>
      <c r="I541" s="45"/>
      <c r="J541" s="45"/>
      <c r="K541" s="45"/>
      <c r="L541" s="45"/>
      <c r="M541" s="45"/>
      <c r="N541" s="45"/>
    </row>
    <row r="542" ht="22.5" customHeight="1">
      <c r="A542" s="45"/>
      <c r="B542" s="45"/>
      <c r="C542" s="45"/>
      <c r="D542" s="45"/>
      <c r="E542" s="45"/>
      <c r="F542" s="45"/>
      <c r="G542" s="45"/>
      <c r="H542" s="45"/>
      <c r="I542" s="45"/>
      <c r="J542" s="45"/>
      <c r="K542" s="45"/>
      <c r="L542" s="45"/>
      <c r="M542" s="45"/>
      <c r="N542" s="45"/>
    </row>
    <row r="543" ht="22.5" customHeight="1">
      <c r="A543" s="45"/>
      <c r="B543" s="45"/>
      <c r="C543" s="45"/>
      <c r="D543" s="45"/>
      <c r="E543" s="45"/>
      <c r="F543" s="45"/>
      <c r="G543" s="45"/>
      <c r="H543" s="45"/>
      <c r="I543" s="45"/>
      <c r="J543" s="45"/>
      <c r="K543" s="45"/>
      <c r="L543" s="45"/>
      <c r="M543" s="45"/>
      <c r="N543" s="45"/>
    </row>
    <row r="544" ht="22.5" customHeight="1">
      <c r="A544" s="45"/>
      <c r="B544" s="45"/>
      <c r="C544" s="45"/>
      <c r="D544" s="45"/>
      <c r="E544" s="45"/>
      <c r="F544" s="45"/>
      <c r="G544" s="45"/>
      <c r="H544" s="45"/>
      <c r="I544" s="45"/>
      <c r="J544" s="45"/>
      <c r="K544" s="45"/>
      <c r="L544" s="45"/>
      <c r="M544" s="45"/>
      <c r="N544" s="45"/>
    </row>
    <row r="545" ht="22.5" customHeight="1">
      <c r="A545" s="45"/>
      <c r="B545" s="45"/>
      <c r="C545" s="45"/>
      <c r="D545" s="45"/>
      <c r="E545" s="45"/>
      <c r="F545" s="45"/>
      <c r="G545" s="45"/>
      <c r="H545" s="45"/>
      <c r="I545" s="45"/>
      <c r="J545" s="45"/>
      <c r="K545" s="45"/>
      <c r="L545" s="45"/>
      <c r="M545" s="45"/>
      <c r="N545" s="45"/>
    </row>
    <row r="546" ht="22.5" customHeight="1">
      <c r="A546" s="45"/>
      <c r="B546" s="45"/>
      <c r="C546" s="45"/>
      <c r="D546" s="45"/>
      <c r="E546" s="45"/>
      <c r="F546" s="45"/>
      <c r="G546" s="45"/>
      <c r="H546" s="45"/>
      <c r="I546" s="45"/>
      <c r="J546" s="45"/>
      <c r="K546" s="45"/>
      <c r="L546" s="45"/>
      <c r="M546" s="45"/>
      <c r="N546" s="45"/>
    </row>
    <row r="547" ht="22.5" customHeight="1">
      <c r="A547" s="45"/>
      <c r="B547" s="45"/>
      <c r="C547" s="45"/>
      <c r="D547" s="45"/>
      <c r="E547" s="45"/>
      <c r="F547" s="45"/>
      <c r="G547" s="45"/>
      <c r="H547" s="45"/>
      <c r="I547" s="45"/>
      <c r="J547" s="45"/>
      <c r="K547" s="45"/>
      <c r="L547" s="45"/>
      <c r="M547" s="45"/>
      <c r="N547" s="45"/>
    </row>
    <row r="548" ht="22.5" customHeight="1">
      <c r="A548" s="45"/>
      <c r="B548" s="45"/>
      <c r="C548" s="45"/>
      <c r="D548" s="45"/>
      <c r="E548" s="45"/>
      <c r="F548" s="45"/>
      <c r="G548" s="45"/>
      <c r="H548" s="45"/>
      <c r="I548" s="45"/>
      <c r="J548" s="45"/>
      <c r="K548" s="45"/>
      <c r="L548" s="45"/>
      <c r="M548" s="45"/>
      <c r="N548" s="45"/>
    </row>
    <row r="549" ht="22.5" customHeight="1">
      <c r="A549" s="45"/>
      <c r="B549" s="45"/>
      <c r="C549" s="45"/>
      <c r="D549" s="45"/>
      <c r="E549" s="45"/>
      <c r="F549" s="45"/>
      <c r="G549" s="45"/>
      <c r="H549" s="45"/>
      <c r="I549" s="45"/>
      <c r="J549" s="45"/>
      <c r="K549" s="45"/>
      <c r="L549" s="45"/>
      <c r="M549" s="45"/>
      <c r="N549" s="45"/>
    </row>
    <row r="550" ht="22.5" customHeight="1">
      <c r="A550" s="45"/>
      <c r="B550" s="45"/>
      <c r="C550" s="45"/>
      <c r="D550" s="45"/>
      <c r="E550" s="45"/>
      <c r="F550" s="45"/>
      <c r="G550" s="45"/>
      <c r="H550" s="45"/>
      <c r="I550" s="45"/>
      <c r="J550" s="45"/>
      <c r="K550" s="45"/>
      <c r="L550" s="45"/>
      <c r="M550" s="45"/>
      <c r="N550" s="45"/>
    </row>
    <row r="551" ht="22.5" customHeight="1">
      <c r="A551" s="45"/>
      <c r="B551" s="45"/>
      <c r="C551" s="45"/>
      <c r="D551" s="45"/>
      <c r="E551" s="45"/>
      <c r="F551" s="45"/>
      <c r="G551" s="45"/>
      <c r="H551" s="45"/>
      <c r="I551" s="45"/>
      <c r="J551" s="45"/>
      <c r="K551" s="45"/>
      <c r="L551" s="45"/>
      <c r="M551" s="45"/>
      <c r="N551" s="45"/>
    </row>
    <row r="552" ht="22.5" customHeight="1">
      <c r="A552" s="45"/>
      <c r="B552" s="45"/>
      <c r="C552" s="45"/>
      <c r="D552" s="45"/>
      <c r="E552" s="45"/>
      <c r="F552" s="45"/>
      <c r="G552" s="45"/>
      <c r="H552" s="45"/>
      <c r="I552" s="45"/>
      <c r="J552" s="45"/>
      <c r="K552" s="45"/>
      <c r="L552" s="45"/>
      <c r="M552" s="45"/>
      <c r="N552" s="45"/>
    </row>
    <row r="553" ht="22.5" customHeight="1">
      <c r="A553" s="45"/>
      <c r="B553" s="45"/>
      <c r="C553" s="45"/>
      <c r="D553" s="45"/>
      <c r="E553" s="45"/>
      <c r="F553" s="45"/>
      <c r="G553" s="45"/>
      <c r="H553" s="45"/>
      <c r="I553" s="45"/>
      <c r="J553" s="45"/>
      <c r="K553" s="45"/>
      <c r="L553" s="45"/>
      <c r="M553" s="45"/>
      <c r="N553" s="45"/>
    </row>
    <row r="554" ht="22.5" customHeight="1">
      <c r="A554" s="45"/>
      <c r="B554" s="45"/>
      <c r="C554" s="45"/>
      <c r="D554" s="45"/>
      <c r="E554" s="45"/>
      <c r="F554" s="45"/>
      <c r="G554" s="45"/>
      <c r="H554" s="45"/>
      <c r="I554" s="45"/>
      <c r="J554" s="45"/>
      <c r="K554" s="45"/>
      <c r="L554" s="45"/>
      <c r="M554" s="45"/>
      <c r="N554" s="45"/>
    </row>
    <row r="555" ht="22.5" customHeight="1">
      <c r="A555" s="45"/>
      <c r="B555" s="45"/>
      <c r="C555" s="45"/>
      <c r="D555" s="45"/>
      <c r="E555" s="45"/>
      <c r="F555" s="45"/>
      <c r="G555" s="45"/>
      <c r="H555" s="45"/>
      <c r="I555" s="45"/>
      <c r="J555" s="45"/>
      <c r="K555" s="45"/>
      <c r="L555" s="45"/>
      <c r="M555" s="45"/>
      <c r="N555" s="45"/>
    </row>
    <row r="556" ht="22.5" customHeight="1">
      <c r="A556" s="45"/>
      <c r="B556" s="45"/>
      <c r="C556" s="45"/>
      <c r="D556" s="45"/>
      <c r="E556" s="45"/>
      <c r="F556" s="45"/>
      <c r="G556" s="45"/>
      <c r="H556" s="45"/>
      <c r="I556" s="45"/>
      <c r="J556" s="45"/>
      <c r="K556" s="45"/>
      <c r="L556" s="45"/>
      <c r="M556" s="45"/>
      <c r="N556" s="45"/>
    </row>
    <row r="557" ht="22.5" customHeight="1">
      <c r="A557" s="45"/>
      <c r="B557" s="45"/>
      <c r="C557" s="45"/>
      <c r="D557" s="45"/>
      <c r="E557" s="45"/>
      <c r="F557" s="45"/>
      <c r="G557" s="45"/>
      <c r="H557" s="45"/>
      <c r="I557" s="45"/>
      <c r="J557" s="45"/>
      <c r="K557" s="45"/>
      <c r="L557" s="45"/>
      <c r="M557" s="45"/>
      <c r="N557" s="45"/>
    </row>
    <row r="558" ht="22.5" customHeight="1">
      <c r="A558" s="45"/>
      <c r="B558" s="45"/>
      <c r="C558" s="45"/>
      <c r="D558" s="45"/>
      <c r="E558" s="45"/>
      <c r="F558" s="45"/>
      <c r="G558" s="45"/>
      <c r="H558" s="45"/>
      <c r="I558" s="45"/>
      <c r="J558" s="45"/>
      <c r="K558" s="45"/>
      <c r="L558" s="45"/>
      <c r="M558" s="45"/>
      <c r="N558" s="45"/>
    </row>
    <row r="559" ht="22.5" customHeight="1">
      <c r="A559" s="45"/>
      <c r="B559" s="45"/>
      <c r="C559" s="45"/>
      <c r="D559" s="45"/>
      <c r="E559" s="45"/>
      <c r="F559" s="45"/>
      <c r="G559" s="45"/>
      <c r="H559" s="45"/>
      <c r="I559" s="45"/>
      <c r="J559" s="45"/>
      <c r="K559" s="45"/>
      <c r="L559" s="45"/>
      <c r="M559" s="45"/>
      <c r="N559" s="45"/>
    </row>
    <row r="560" ht="22.5" customHeight="1">
      <c r="A560" s="45"/>
      <c r="B560" s="45"/>
      <c r="C560" s="45"/>
      <c r="D560" s="45"/>
      <c r="E560" s="45"/>
      <c r="F560" s="45"/>
      <c r="G560" s="45"/>
      <c r="H560" s="45"/>
      <c r="I560" s="45"/>
      <c r="J560" s="45"/>
      <c r="K560" s="45"/>
      <c r="L560" s="45"/>
      <c r="M560" s="45"/>
      <c r="N560" s="45"/>
    </row>
    <row r="561" ht="22.5" customHeight="1">
      <c r="A561" s="45"/>
      <c r="B561" s="45"/>
      <c r="C561" s="45"/>
      <c r="D561" s="45"/>
      <c r="E561" s="45"/>
      <c r="F561" s="45"/>
      <c r="G561" s="45"/>
      <c r="H561" s="45"/>
      <c r="I561" s="45"/>
      <c r="J561" s="45"/>
      <c r="K561" s="45"/>
      <c r="L561" s="45"/>
      <c r="M561" s="45"/>
      <c r="N561" s="45"/>
    </row>
    <row r="562" ht="22.5" customHeight="1">
      <c r="A562" s="45"/>
      <c r="B562" s="45"/>
      <c r="C562" s="45"/>
      <c r="D562" s="45"/>
      <c r="E562" s="45"/>
      <c r="F562" s="45"/>
      <c r="G562" s="45"/>
      <c r="H562" s="45"/>
      <c r="I562" s="45"/>
      <c r="J562" s="45"/>
      <c r="K562" s="45"/>
      <c r="L562" s="45"/>
      <c r="M562" s="45"/>
      <c r="N562" s="45"/>
    </row>
    <row r="563" ht="22.5" customHeight="1">
      <c r="A563" s="45"/>
      <c r="B563" s="45"/>
      <c r="C563" s="45"/>
      <c r="D563" s="45"/>
      <c r="E563" s="45"/>
      <c r="F563" s="45"/>
      <c r="G563" s="45"/>
      <c r="H563" s="45"/>
      <c r="I563" s="45"/>
      <c r="J563" s="45"/>
      <c r="K563" s="45"/>
      <c r="L563" s="45"/>
      <c r="M563" s="45"/>
      <c r="N563" s="45"/>
    </row>
    <row r="564" ht="22.5" customHeight="1">
      <c r="A564" s="45"/>
      <c r="B564" s="45"/>
      <c r="C564" s="45"/>
      <c r="D564" s="45"/>
      <c r="E564" s="45"/>
      <c r="F564" s="45"/>
      <c r="G564" s="45"/>
      <c r="H564" s="45"/>
      <c r="I564" s="45"/>
      <c r="J564" s="45"/>
      <c r="K564" s="45"/>
      <c r="L564" s="45"/>
      <c r="M564" s="45"/>
      <c r="N564" s="45"/>
    </row>
    <row r="565" ht="22.5" customHeight="1">
      <c r="A565" s="45"/>
      <c r="B565" s="45"/>
      <c r="C565" s="45"/>
      <c r="D565" s="45"/>
      <c r="E565" s="45"/>
      <c r="F565" s="45"/>
      <c r="G565" s="45"/>
      <c r="H565" s="45"/>
      <c r="I565" s="45"/>
      <c r="J565" s="45"/>
      <c r="K565" s="45"/>
      <c r="L565" s="45"/>
      <c r="M565" s="45"/>
      <c r="N565" s="45"/>
    </row>
    <row r="566" ht="22.5" customHeight="1">
      <c r="A566" s="45"/>
      <c r="B566" s="45"/>
      <c r="C566" s="45"/>
      <c r="D566" s="45"/>
      <c r="E566" s="45"/>
      <c r="F566" s="45"/>
      <c r="G566" s="45"/>
      <c r="H566" s="45"/>
      <c r="I566" s="45"/>
      <c r="J566" s="45"/>
      <c r="K566" s="45"/>
      <c r="L566" s="45"/>
      <c r="M566" s="45"/>
      <c r="N566" s="45"/>
    </row>
    <row r="567" ht="22.5" customHeight="1">
      <c r="A567" s="45"/>
      <c r="B567" s="45"/>
      <c r="C567" s="45"/>
      <c r="D567" s="45"/>
      <c r="E567" s="45"/>
      <c r="F567" s="45"/>
      <c r="G567" s="45"/>
      <c r="H567" s="45"/>
      <c r="I567" s="45"/>
      <c r="J567" s="45"/>
      <c r="K567" s="45"/>
      <c r="L567" s="45"/>
      <c r="M567" s="45"/>
      <c r="N567" s="45"/>
    </row>
    <row r="568" ht="22.5" customHeight="1">
      <c r="A568" s="45"/>
      <c r="B568" s="45"/>
      <c r="C568" s="45"/>
      <c r="D568" s="45"/>
      <c r="E568" s="45"/>
      <c r="F568" s="45"/>
      <c r="G568" s="45"/>
      <c r="H568" s="45"/>
      <c r="I568" s="45"/>
      <c r="J568" s="45"/>
      <c r="K568" s="45"/>
      <c r="L568" s="45"/>
      <c r="M568" s="45"/>
      <c r="N568" s="45"/>
    </row>
    <row r="569" ht="22.5" customHeight="1">
      <c r="A569" s="45"/>
      <c r="B569" s="45"/>
      <c r="C569" s="45"/>
      <c r="D569" s="45"/>
      <c r="E569" s="45"/>
      <c r="F569" s="45"/>
      <c r="G569" s="45"/>
      <c r="H569" s="45"/>
      <c r="I569" s="45"/>
      <c r="J569" s="45"/>
      <c r="K569" s="45"/>
      <c r="L569" s="45"/>
      <c r="M569" s="45"/>
      <c r="N569" s="45"/>
    </row>
    <row r="570" ht="22.5" customHeight="1">
      <c r="A570" s="45"/>
      <c r="B570" s="45"/>
      <c r="C570" s="45"/>
      <c r="D570" s="45"/>
      <c r="E570" s="45"/>
      <c r="F570" s="45"/>
      <c r="G570" s="45"/>
      <c r="H570" s="45"/>
      <c r="I570" s="45"/>
      <c r="J570" s="45"/>
      <c r="K570" s="45"/>
      <c r="L570" s="45"/>
      <c r="M570" s="45"/>
      <c r="N570" s="45"/>
    </row>
    <row r="571" ht="22.5" customHeight="1">
      <c r="A571" s="45"/>
      <c r="B571" s="45"/>
      <c r="C571" s="45"/>
      <c r="D571" s="45"/>
      <c r="E571" s="45"/>
      <c r="F571" s="45"/>
      <c r="G571" s="45"/>
      <c r="H571" s="45"/>
      <c r="I571" s="45"/>
      <c r="J571" s="45"/>
      <c r="K571" s="45"/>
      <c r="L571" s="45"/>
      <c r="M571" s="45"/>
      <c r="N571" s="45"/>
    </row>
    <row r="572" ht="22.5" customHeight="1">
      <c r="A572" s="45"/>
      <c r="B572" s="45"/>
      <c r="C572" s="45"/>
      <c r="D572" s="45"/>
      <c r="E572" s="45"/>
      <c r="F572" s="45"/>
      <c r="G572" s="45"/>
      <c r="H572" s="45"/>
      <c r="I572" s="45"/>
      <c r="J572" s="45"/>
      <c r="K572" s="45"/>
      <c r="L572" s="45"/>
      <c r="M572" s="45"/>
      <c r="N572" s="45"/>
    </row>
    <row r="573" ht="22.5" customHeight="1">
      <c r="A573" s="45"/>
      <c r="B573" s="45"/>
      <c r="C573" s="45"/>
      <c r="D573" s="45"/>
      <c r="E573" s="45"/>
      <c r="F573" s="45"/>
      <c r="G573" s="45"/>
      <c r="H573" s="45"/>
      <c r="I573" s="45"/>
      <c r="J573" s="45"/>
      <c r="K573" s="45"/>
      <c r="L573" s="45"/>
      <c r="M573" s="45"/>
      <c r="N573" s="45"/>
    </row>
    <row r="574" ht="22.5" customHeight="1">
      <c r="A574" s="45"/>
      <c r="B574" s="45"/>
      <c r="C574" s="45"/>
      <c r="D574" s="45"/>
      <c r="E574" s="45"/>
      <c r="F574" s="45"/>
      <c r="G574" s="45"/>
      <c r="H574" s="45"/>
      <c r="I574" s="45"/>
      <c r="J574" s="45"/>
      <c r="K574" s="45"/>
      <c r="L574" s="45"/>
      <c r="M574" s="45"/>
      <c r="N574" s="45"/>
    </row>
    <row r="575" ht="22.5" customHeight="1">
      <c r="A575" s="45"/>
      <c r="B575" s="45"/>
      <c r="C575" s="45"/>
      <c r="D575" s="45"/>
      <c r="E575" s="45"/>
      <c r="F575" s="45"/>
      <c r="G575" s="45"/>
      <c r="H575" s="45"/>
      <c r="I575" s="45"/>
      <c r="J575" s="45"/>
      <c r="K575" s="45"/>
      <c r="L575" s="45"/>
      <c r="M575" s="45"/>
      <c r="N575" s="45"/>
    </row>
    <row r="576" ht="22.5" customHeight="1">
      <c r="A576" s="45"/>
      <c r="B576" s="45"/>
      <c r="C576" s="45"/>
      <c r="D576" s="45"/>
      <c r="E576" s="45"/>
      <c r="F576" s="45"/>
      <c r="G576" s="45"/>
      <c r="H576" s="45"/>
      <c r="I576" s="45"/>
      <c r="J576" s="45"/>
      <c r="K576" s="45"/>
      <c r="L576" s="45"/>
      <c r="M576" s="45"/>
      <c r="N576" s="45"/>
    </row>
    <row r="577" ht="22.5" customHeight="1">
      <c r="A577" s="45"/>
      <c r="B577" s="45"/>
      <c r="C577" s="45"/>
      <c r="D577" s="45"/>
      <c r="E577" s="45"/>
      <c r="F577" s="45"/>
      <c r="G577" s="45"/>
      <c r="H577" s="45"/>
      <c r="I577" s="45"/>
      <c r="J577" s="45"/>
      <c r="K577" s="45"/>
      <c r="L577" s="45"/>
      <c r="M577" s="45"/>
      <c r="N577" s="45"/>
    </row>
    <row r="578" ht="22.5" customHeight="1">
      <c r="A578" s="45"/>
      <c r="B578" s="45"/>
      <c r="C578" s="45"/>
      <c r="D578" s="45"/>
      <c r="E578" s="45"/>
      <c r="F578" s="45"/>
      <c r="G578" s="45"/>
      <c r="H578" s="45"/>
      <c r="I578" s="45"/>
      <c r="J578" s="45"/>
      <c r="K578" s="45"/>
      <c r="L578" s="45"/>
      <c r="M578" s="45"/>
      <c r="N578" s="45"/>
    </row>
    <row r="579" ht="22.5" customHeight="1">
      <c r="A579" s="45"/>
      <c r="B579" s="45"/>
      <c r="C579" s="45"/>
      <c r="D579" s="45"/>
      <c r="E579" s="45"/>
      <c r="F579" s="45"/>
      <c r="G579" s="45"/>
      <c r="H579" s="45"/>
      <c r="I579" s="45"/>
      <c r="J579" s="45"/>
      <c r="K579" s="45"/>
      <c r="L579" s="45"/>
      <c r="M579" s="45"/>
      <c r="N579" s="45"/>
    </row>
    <row r="580" ht="22.5" customHeight="1">
      <c r="A580" s="45"/>
      <c r="B580" s="45"/>
      <c r="C580" s="45"/>
      <c r="D580" s="45"/>
      <c r="E580" s="45"/>
      <c r="F580" s="45"/>
      <c r="G580" s="45"/>
      <c r="H580" s="45"/>
      <c r="I580" s="45"/>
      <c r="J580" s="45"/>
      <c r="K580" s="45"/>
      <c r="L580" s="45"/>
      <c r="M580" s="45"/>
      <c r="N580" s="45"/>
    </row>
    <row r="581" ht="22.5" customHeight="1">
      <c r="A581" s="45"/>
      <c r="B581" s="45"/>
      <c r="C581" s="45"/>
      <c r="D581" s="45"/>
      <c r="E581" s="45"/>
      <c r="F581" s="45"/>
      <c r="G581" s="45"/>
      <c r="H581" s="45"/>
      <c r="I581" s="45"/>
      <c r="J581" s="45"/>
      <c r="K581" s="45"/>
      <c r="L581" s="45"/>
      <c r="M581" s="45"/>
      <c r="N581" s="45"/>
    </row>
    <row r="582" ht="22.5" customHeight="1">
      <c r="A582" s="45"/>
      <c r="B582" s="45"/>
      <c r="C582" s="45"/>
      <c r="D582" s="45"/>
      <c r="E582" s="45"/>
      <c r="F582" s="45"/>
      <c r="G582" s="45"/>
      <c r="H582" s="45"/>
      <c r="I582" s="45"/>
      <c r="J582" s="45"/>
      <c r="K582" s="45"/>
      <c r="L582" s="45"/>
      <c r="M582" s="45"/>
      <c r="N582" s="45"/>
    </row>
    <row r="583" ht="22.5" customHeight="1">
      <c r="A583" s="45"/>
      <c r="B583" s="45"/>
      <c r="C583" s="45"/>
      <c r="D583" s="45"/>
      <c r="E583" s="45"/>
      <c r="F583" s="45"/>
      <c r="G583" s="45"/>
      <c r="H583" s="45"/>
      <c r="I583" s="45"/>
      <c r="J583" s="45"/>
      <c r="K583" s="45"/>
      <c r="L583" s="45"/>
      <c r="M583" s="45"/>
      <c r="N583" s="45"/>
    </row>
    <row r="584" ht="22.5" customHeight="1">
      <c r="A584" s="45"/>
      <c r="B584" s="45"/>
      <c r="C584" s="45"/>
      <c r="D584" s="45"/>
      <c r="E584" s="45"/>
      <c r="F584" s="45"/>
      <c r="G584" s="45"/>
      <c r="H584" s="45"/>
      <c r="I584" s="45"/>
      <c r="J584" s="45"/>
      <c r="K584" s="45"/>
      <c r="L584" s="45"/>
      <c r="M584" s="45"/>
      <c r="N584" s="45"/>
    </row>
    <row r="585" ht="22.5" customHeight="1">
      <c r="A585" s="45"/>
      <c r="B585" s="45"/>
      <c r="C585" s="45"/>
      <c r="D585" s="45"/>
      <c r="E585" s="45"/>
      <c r="F585" s="45"/>
      <c r="G585" s="45"/>
      <c r="H585" s="45"/>
      <c r="I585" s="45"/>
      <c r="J585" s="45"/>
      <c r="K585" s="45"/>
      <c r="L585" s="45"/>
      <c r="M585" s="45"/>
      <c r="N585" s="45"/>
    </row>
    <row r="586" ht="22.5" customHeight="1">
      <c r="A586" s="45"/>
      <c r="B586" s="45"/>
      <c r="C586" s="45"/>
      <c r="D586" s="45"/>
      <c r="E586" s="45"/>
      <c r="F586" s="45"/>
      <c r="G586" s="45"/>
      <c r="H586" s="45"/>
      <c r="I586" s="45"/>
      <c r="J586" s="45"/>
      <c r="K586" s="45"/>
      <c r="L586" s="45"/>
      <c r="M586" s="45"/>
      <c r="N586" s="45"/>
    </row>
    <row r="587" ht="22.5" customHeight="1">
      <c r="A587" s="45"/>
      <c r="B587" s="45"/>
      <c r="C587" s="45"/>
      <c r="D587" s="45"/>
      <c r="E587" s="45"/>
      <c r="F587" s="45"/>
      <c r="G587" s="45"/>
      <c r="H587" s="45"/>
      <c r="I587" s="45"/>
      <c r="J587" s="45"/>
      <c r="K587" s="45"/>
      <c r="L587" s="45"/>
      <c r="M587" s="45"/>
      <c r="N587" s="45"/>
    </row>
    <row r="588" ht="22.5" customHeight="1">
      <c r="A588" s="45"/>
      <c r="B588" s="45"/>
      <c r="C588" s="45"/>
      <c r="D588" s="45"/>
      <c r="E588" s="45"/>
      <c r="F588" s="45"/>
      <c r="G588" s="45"/>
      <c r="H588" s="45"/>
      <c r="I588" s="45"/>
      <c r="J588" s="45"/>
      <c r="K588" s="45"/>
      <c r="L588" s="45"/>
      <c r="M588" s="45"/>
      <c r="N588" s="45"/>
    </row>
    <row r="589" ht="22.5" customHeight="1">
      <c r="A589" s="45"/>
      <c r="B589" s="45"/>
      <c r="C589" s="45"/>
      <c r="D589" s="45"/>
      <c r="E589" s="45"/>
      <c r="F589" s="45"/>
      <c r="G589" s="45"/>
      <c r="H589" s="45"/>
      <c r="I589" s="45"/>
      <c r="J589" s="45"/>
      <c r="K589" s="45"/>
      <c r="L589" s="45"/>
      <c r="M589" s="45"/>
      <c r="N589" s="45"/>
    </row>
    <row r="590" ht="22.5" customHeight="1">
      <c r="A590" s="45"/>
      <c r="B590" s="45"/>
      <c r="C590" s="45"/>
      <c r="D590" s="45"/>
      <c r="E590" s="45"/>
      <c r="F590" s="45"/>
      <c r="G590" s="45"/>
      <c r="H590" s="45"/>
      <c r="I590" s="45"/>
      <c r="J590" s="45"/>
      <c r="K590" s="45"/>
      <c r="L590" s="45"/>
      <c r="M590" s="45"/>
      <c r="N590" s="45"/>
    </row>
    <row r="591" ht="22.5" customHeight="1">
      <c r="A591" s="45"/>
      <c r="B591" s="45"/>
      <c r="C591" s="45"/>
      <c r="D591" s="45"/>
      <c r="E591" s="45"/>
      <c r="F591" s="45"/>
      <c r="G591" s="45"/>
      <c r="H591" s="45"/>
      <c r="I591" s="45"/>
      <c r="J591" s="45"/>
      <c r="K591" s="45"/>
      <c r="L591" s="45"/>
      <c r="M591" s="45"/>
      <c r="N591" s="45"/>
    </row>
    <row r="592" ht="22.5" customHeight="1">
      <c r="A592" s="45"/>
      <c r="B592" s="45"/>
      <c r="C592" s="45"/>
      <c r="D592" s="45"/>
      <c r="E592" s="45"/>
      <c r="F592" s="45"/>
      <c r="G592" s="45"/>
      <c r="H592" s="45"/>
      <c r="I592" s="45"/>
      <c r="J592" s="45"/>
      <c r="K592" s="45"/>
      <c r="L592" s="45"/>
      <c r="M592" s="45"/>
      <c r="N592" s="45"/>
    </row>
    <row r="593" ht="22.5" customHeight="1">
      <c r="A593" s="45"/>
      <c r="B593" s="45"/>
      <c r="C593" s="45"/>
      <c r="D593" s="45"/>
      <c r="E593" s="45"/>
      <c r="F593" s="45"/>
      <c r="G593" s="45"/>
      <c r="H593" s="45"/>
      <c r="I593" s="45"/>
      <c r="J593" s="45"/>
      <c r="K593" s="45"/>
      <c r="L593" s="45"/>
      <c r="M593" s="45"/>
      <c r="N593" s="45"/>
    </row>
    <row r="594" ht="22.5" customHeight="1">
      <c r="A594" s="45"/>
      <c r="B594" s="45"/>
      <c r="C594" s="45"/>
      <c r="D594" s="45"/>
      <c r="E594" s="45"/>
      <c r="F594" s="45"/>
      <c r="G594" s="45"/>
      <c r="H594" s="45"/>
      <c r="I594" s="45"/>
      <c r="J594" s="45"/>
      <c r="K594" s="45"/>
      <c r="L594" s="45"/>
      <c r="M594" s="45"/>
      <c r="N594" s="45"/>
    </row>
    <row r="595" ht="22.5" customHeight="1">
      <c r="A595" s="45"/>
      <c r="B595" s="45"/>
      <c r="C595" s="45"/>
      <c r="D595" s="45"/>
      <c r="E595" s="45"/>
      <c r="F595" s="45"/>
      <c r="G595" s="45"/>
      <c r="H595" s="45"/>
      <c r="I595" s="45"/>
      <c r="J595" s="45"/>
      <c r="K595" s="45"/>
      <c r="L595" s="45"/>
      <c r="M595" s="45"/>
      <c r="N595" s="45"/>
    </row>
    <row r="596" ht="22.5" customHeight="1">
      <c r="A596" s="45"/>
      <c r="B596" s="45"/>
      <c r="C596" s="45"/>
      <c r="D596" s="45"/>
      <c r="E596" s="45"/>
      <c r="F596" s="45"/>
      <c r="G596" s="45"/>
      <c r="H596" s="45"/>
      <c r="I596" s="45"/>
      <c r="J596" s="45"/>
      <c r="K596" s="45"/>
      <c r="L596" s="45"/>
      <c r="M596" s="45"/>
      <c r="N596" s="45"/>
    </row>
    <row r="597" ht="22.5" customHeight="1">
      <c r="A597" s="45"/>
      <c r="B597" s="45"/>
      <c r="C597" s="45"/>
      <c r="D597" s="45"/>
      <c r="E597" s="45"/>
      <c r="F597" s="45"/>
      <c r="G597" s="45"/>
      <c r="H597" s="45"/>
      <c r="I597" s="45"/>
      <c r="J597" s="45"/>
      <c r="K597" s="45"/>
      <c r="L597" s="45"/>
      <c r="M597" s="45"/>
      <c r="N597" s="45"/>
    </row>
    <row r="598" ht="22.5" customHeight="1">
      <c r="A598" s="45"/>
      <c r="B598" s="45"/>
      <c r="C598" s="45"/>
      <c r="D598" s="45"/>
      <c r="E598" s="45"/>
      <c r="F598" s="45"/>
      <c r="G598" s="45"/>
      <c r="H598" s="45"/>
      <c r="I598" s="45"/>
      <c r="J598" s="45"/>
      <c r="K598" s="45"/>
      <c r="L598" s="45"/>
      <c r="M598" s="45"/>
      <c r="N598" s="45"/>
    </row>
    <row r="599" ht="22.5" customHeight="1">
      <c r="A599" s="45"/>
      <c r="B599" s="45"/>
      <c r="C599" s="45"/>
      <c r="D599" s="45"/>
      <c r="E599" s="45"/>
      <c r="F599" s="45"/>
      <c r="G599" s="45"/>
      <c r="H599" s="45"/>
      <c r="I599" s="45"/>
      <c r="J599" s="45"/>
      <c r="K599" s="45"/>
      <c r="L599" s="45"/>
      <c r="M599" s="45"/>
      <c r="N599" s="45"/>
    </row>
    <row r="600" ht="22.5" customHeight="1">
      <c r="A600" s="45"/>
      <c r="B600" s="45"/>
      <c r="C600" s="45"/>
      <c r="D600" s="45"/>
      <c r="E600" s="45"/>
      <c r="F600" s="45"/>
      <c r="G600" s="45"/>
      <c r="H600" s="45"/>
      <c r="I600" s="45"/>
      <c r="J600" s="45"/>
      <c r="K600" s="45"/>
      <c r="L600" s="45"/>
      <c r="M600" s="45"/>
      <c r="N600" s="45"/>
    </row>
    <row r="601" ht="22.5" customHeight="1">
      <c r="A601" s="45"/>
      <c r="B601" s="45"/>
      <c r="C601" s="45"/>
      <c r="D601" s="45"/>
      <c r="E601" s="45"/>
      <c r="F601" s="45"/>
      <c r="G601" s="45"/>
      <c r="H601" s="45"/>
      <c r="I601" s="45"/>
      <c r="J601" s="45"/>
      <c r="K601" s="45"/>
      <c r="L601" s="45"/>
      <c r="M601" s="45"/>
      <c r="N601" s="45"/>
    </row>
    <row r="602" ht="22.5" customHeight="1">
      <c r="A602" s="45"/>
      <c r="B602" s="45"/>
      <c r="C602" s="45"/>
      <c r="D602" s="45"/>
      <c r="E602" s="45"/>
      <c r="F602" s="45"/>
      <c r="G602" s="45"/>
      <c r="H602" s="45"/>
      <c r="I602" s="45"/>
      <c r="J602" s="45"/>
      <c r="K602" s="45"/>
      <c r="L602" s="45"/>
      <c r="M602" s="45"/>
      <c r="N602" s="45"/>
    </row>
    <row r="603" ht="22.5" customHeight="1">
      <c r="A603" s="45"/>
      <c r="B603" s="45"/>
      <c r="C603" s="45"/>
      <c r="D603" s="45"/>
      <c r="E603" s="45"/>
      <c r="F603" s="45"/>
      <c r="G603" s="45"/>
      <c r="H603" s="45"/>
      <c r="I603" s="45"/>
      <c r="J603" s="45"/>
      <c r="K603" s="45"/>
      <c r="L603" s="45"/>
      <c r="M603" s="45"/>
      <c r="N603" s="45"/>
    </row>
    <row r="604" ht="22.5" customHeight="1">
      <c r="A604" s="45"/>
      <c r="B604" s="45"/>
      <c r="C604" s="45"/>
      <c r="D604" s="45"/>
      <c r="E604" s="45"/>
      <c r="F604" s="45"/>
      <c r="G604" s="45"/>
      <c r="H604" s="45"/>
      <c r="I604" s="45"/>
      <c r="J604" s="45"/>
      <c r="K604" s="45"/>
      <c r="L604" s="45"/>
      <c r="M604" s="45"/>
      <c r="N604" s="45"/>
    </row>
    <row r="605" ht="22.5" customHeight="1">
      <c r="A605" s="45"/>
      <c r="B605" s="45"/>
      <c r="C605" s="45"/>
      <c r="D605" s="45"/>
      <c r="E605" s="45"/>
      <c r="F605" s="45"/>
      <c r="G605" s="45"/>
      <c r="H605" s="45"/>
      <c r="I605" s="45"/>
      <c r="J605" s="45"/>
      <c r="K605" s="45"/>
      <c r="L605" s="45"/>
      <c r="M605" s="45"/>
      <c r="N605" s="45"/>
    </row>
    <row r="606" ht="22.5" customHeight="1">
      <c r="A606" s="45"/>
      <c r="B606" s="45"/>
      <c r="C606" s="45"/>
      <c r="D606" s="45"/>
      <c r="E606" s="45"/>
      <c r="F606" s="45"/>
      <c r="G606" s="45"/>
      <c r="H606" s="45"/>
      <c r="I606" s="45"/>
      <c r="J606" s="45"/>
      <c r="K606" s="45"/>
      <c r="L606" s="45"/>
      <c r="M606" s="45"/>
      <c r="N606" s="45"/>
    </row>
    <row r="607" ht="22.5" customHeight="1">
      <c r="A607" s="45"/>
      <c r="B607" s="45"/>
      <c r="C607" s="45"/>
      <c r="D607" s="45"/>
      <c r="E607" s="45"/>
      <c r="F607" s="45"/>
      <c r="G607" s="45"/>
      <c r="H607" s="45"/>
      <c r="I607" s="45"/>
      <c r="J607" s="45"/>
      <c r="K607" s="45"/>
      <c r="L607" s="45"/>
      <c r="M607" s="45"/>
      <c r="N607" s="45"/>
    </row>
    <row r="608" ht="22.5" customHeight="1">
      <c r="A608" s="45"/>
      <c r="B608" s="45"/>
      <c r="C608" s="45"/>
      <c r="D608" s="45"/>
      <c r="E608" s="45"/>
      <c r="F608" s="45"/>
      <c r="G608" s="45"/>
      <c r="H608" s="45"/>
      <c r="I608" s="45"/>
      <c r="J608" s="45"/>
      <c r="K608" s="45"/>
      <c r="L608" s="45"/>
      <c r="M608" s="45"/>
      <c r="N608" s="45"/>
    </row>
    <row r="609" ht="22.5" customHeight="1">
      <c r="A609" s="45"/>
      <c r="B609" s="45"/>
      <c r="C609" s="45"/>
      <c r="D609" s="45"/>
      <c r="E609" s="45"/>
      <c r="F609" s="45"/>
      <c r="G609" s="45"/>
      <c r="H609" s="45"/>
      <c r="I609" s="45"/>
      <c r="J609" s="45"/>
      <c r="K609" s="45"/>
      <c r="L609" s="45"/>
      <c r="M609" s="45"/>
      <c r="N609" s="45"/>
    </row>
    <row r="610" ht="22.5" customHeight="1">
      <c r="A610" s="45"/>
      <c r="B610" s="45"/>
      <c r="C610" s="45"/>
      <c r="D610" s="45"/>
      <c r="E610" s="45"/>
      <c r="F610" s="45"/>
      <c r="G610" s="45"/>
      <c r="H610" s="45"/>
      <c r="I610" s="45"/>
      <c r="J610" s="45"/>
      <c r="K610" s="45"/>
      <c r="L610" s="45"/>
      <c r="M610" s="45"/>
      <c r="N610" s="45"/>
    </row>
    <row r="611" ht="22.5" customHeight="1">
      <c r="A611" s="45"/>
      <c r="B611" s="45"/>
      <c r="C611" s="45"/>
      <c r="D611" s="45"/>
      <c r="E611" s="45"/>
      <c r="F611" s="45"/>
      <c r="G611" s="45"/>
      <c r="H611" s="45"/>
      <c r="I611" s="45"/>
      <c r="J611" s="45"/>
      <c r="K611" s="45"/>
      <c r="L611" s="45"/>
      <c r="M611" s="45"/>
      <c r="N611" s="45"/>
    </row>
    <row r="612" ht="22.5" customHeight="1">
      <c r="A612" s="45"/>
      <c r="B612" s="45"/>
      <c r="C612" s="45"/>
      <c r="D612" s="45"/>
      <c r="E612" s="45"/>
      <c r="F612" s="45"/>
      <c r="G612" s="45"/>
      <c r="H612" s="45"/>
      <c r="I612" s="45"/>
      <c r="J612" s="45"/>
      <c r="K612" s="45"/>
      <c r="L612" s="45"/>
      <c r="M612" s="45"/>
      <c r="N612" s="45"/>
    </row>
    <row r="613" ht="22.5" customHeight="1">
      <c r="A613" s="45"/>
      <c r="B613" s="45"/>
      <c r="C613" s="45"/>
      <c r="D613" s="45"/>
      <c r="E613" s="45"/>
      <c r="F613" s="45"/>
      <c r="G613" s="45"/>
      <c r="H613" s="45"/>
      <c r="I613" s="45"/>
      <c r="J613" s="45"/>
      <c r="K613" s="45"/>
      <c r="L613" s="45"/>
      <c r="M613" s="45"/>
      <c r="N613" s="45"/>
    </row>
    <row r="614" ht="22.5" customHeight="1">
      <c r="A614" s="45"/>
      <c r="B614" s="45"/>
      <c r="C614" s="45"/>
      <c r="D614" s="45"/>
      <c r="E614" s="45"/>
      <c r="F614" s="45"/>
      <c r="G614" s="45"/>
      <c r="H614" s="45"/>
      <c r="I614" s="45"/>
      <c r="J614" s="45"/>
      <c r="K614" s="45"/>
      <c r="L614" s="45"/>
      <c r="M614" s="45"/>
      <c r="N614" s="45"/>
    </row>
    <row r="615" ht="22.5" customHeight="1">
      <c r="A615" s="45"/>
      <c r="B615" s="45"/>
      <c r="C615" s="45"/>
      <c r="D615" s="45"/>
      <c r="E615" s="45"/>
      <c r="F615" s="45"/>
      <c r="G615" s="45"/>
      <c r="H615" s="45"/>
      <c r="I615" s="45"/>
      <c r="J615" s="45"/>
      <c r="K615" s="45"/>
      <c r="L615" s="45"/>
      <c r="M615" s="45"/>
      <c r="N615" s="45"/>
    </row>
    <row r="616" ht="22.5" customHeight="1">
      <c r="A616" s="45"/>
      <c r="B616" s="45"/>
      <c r="C616" s="45"/>
      <c r="D616" s="45"/>
      <c r="E616" s="45"/>
      <c r="F616" s="45"/>
      <c r="G616" s="45"/>
      <c r="H616" s="45"/>
      <c r="I616" s="45"/>
      <c r="J616" s="45"/>
      <c r="K616" s="45"/>
      <c r="L616" s="45"/>
      <c r="M616" s="45"/>
      <c r="N616" s="45"/>
    </row>
    <row r="617" ht="22.5" customHeight="1">
      <c r="A617" s="45"/>
      <c r="B617" s="45"/>
      <c r="C617" s="45"/>
      <c r="D617" s="45"/>
      <c r="E617" s="45"/>
      <c r="F617" s="45"/>
      <c r="G617" s="45"/>
      <c r="H617" s="45"/>
      <c r="I617" s="45"/>
      <c r="J617" s="45"/>
      <c r="K617" s="45"/>
      <c r="L617" s="45"/>
      <c r="M617" s="45"/>
      <c r="N617" s="45"/>
    </row>
    <row r="618" ht="22.5" customHeight="1">
      <c r="A618" s="45"/>
      <c r="B618" s="45"/>
      <c r="C618" s="45"/>
      <c r="D618" s="45"/>
      <c r="E618" s="45"/>
      <c r="F618" s="45"/>
      <c r="G618" s="45"/>
      <c r="H618" s="45"/>
      <c r="I618" s="45"/>
      <c r="J618" s="45"/>
      <c r="K618" s="45"/>
      <c r="L618" s="45"/>
      <c r="M618" s="45"/>
      <c r="N618" s="45"/>
    </row>
    <row r="619" ht="22.5" customHeight="1">
      <c r="A619" s="45"/>
      <c r="B619" s="45"/>
      <c r="C619" s="45"/>
      <c r="D619" s="45"/>
      <c r="E619" s="45"/>
      <c r="F619" s="45"/>
      <c r="G619" s="45"/>
      <c r="H619" s="45"/>
      <c r="I619" s="45"/>
      <c r="J619" s="45"/>
      <c r="K619" s="45"/>
      <c r="L619" s="45"/>
      <c r="M619" s="45"/>
      <c r="N619" s="45"/>
    </row>
    <row r="620" ht="22.5" customHeight="1">
      <c r="A620" s="45"/>
      <c r="B620" s="45"/>
      <c r="C620" s="45"/>
      <c r="D620" s="45"/>
      <c r="E620" s="45"/>
      <c r="F620" s="45"/>
      <c r="G620" s="45"/>
      <c r="H620" s="45"/>
      <c r="I620" s="45"/>
      <c r="J620" s="45"/>
      <c r="K620" s="45"/>
      <c r="L620" s="45"/>
      <c r="M620" s="45"/>
      <c r="N620" s="45"/>
    </row>
    <row r="621" ht="22.5" customHeight="1">
      <c r="A621" s="45"/>
      <c r="B621" s="45"/>
      <c r="C621" s="45"/>
      <c r="D621" s="45"/>
      <c r="E621" s="45"/>
      <c r="F621" s="45"/>
      <c r="G621" s="45"/>
      <c r="H621" s="45"/>
      <c r="I621" s="45"/>
      <c r="J621" s="45"/>
      <c r="K621" s="45"/>
      <c r="L621" s="45"/>
      <c r="M621" s="45"/>
      <c r="N621" s="45"/>
    </row>
    <row r="622" ht="22.5" customHeight="1">
      <c r="A622" s="45"/>
      <c r="B622" s="45"/>
      <c r="C622" s="45"/>
      <c r="D622" s="45"/>
      <c r="E622" s="45"/>
      <c r="F622" s="45"/>
      <c r="G622" s="45"/>
      <c r="H622" s="45"/>
      <c r="I622" s="45"/>
      <c r="J622" s="45"/>
      <c r="K622" s="45"/>
      <c r="L622" s="45"/>
      <c r="M622" s="45"/>
      <c r="N622" s="45"/>
    </row>
    <row r="623" ht="22.5" customHeight="1">
      <c r="A623" s="45"/>
      <c r="B623" s="45"/>
      <c r="C623" s="45"/>
      <c r="D623" s="45"/>
      <c r="E623" s="45"/>
      <c r="F623" s="45"/>
      <c r="G623" s="45"/>
      <c r="H623" s="45"/>
      <c r="I623" s="45"/>
      <c r="J623" s="45"/>
      <c r="K623" s="45"/>
      <c r="L623" s="45"/>
      <c r="M623" s="45"/>
      <c r="N623" s="45"/>
    </row>
    <row r="624" ht="22.5" customHeight="1">
      <c r="A624" s="45"/>
      <c r="B624" s="45"/>
      <c r="C624" s="45"/>
      <c r="D624" s="45"/>
      <c r="E624" s="45"/>
      <c r="F624" s="45"/>
      <c r="G624" s="45"/>
      <c r="H624" s="45"/>
      <c r="I624" s="45"/>
      <c r="J624" s="45"/>
      <c r="K624" s="45"/>
      <c r="L624" s="45"/>
      <c r="M624" s="45"/>
      <c r="N624" s="45"/>
    </row>
    <row r="625" ht="22.5" customHeight="1">
      <c r="A625" s="45"/>
      <c r="B625" s="45"/>
      <c r="C625" s="45"/>
      <c r="D625" s="45"/>
      <c r="E625" s="45"/>
      <c r="F625" s="45"/>
      <c r="G625" s="45"/>
      <c r="H625" s="45"/>
      <c r="I625" s="45"/>
      <c r="J625" s="45"/>
      <c r="K625" s="45"/>
      <c r="L625" s="45"/>
      <c r="M625" s="45"/>
      <c r="N625" s="45"/>
    </row>
    <row r="626" ht="22.5" customHeight="1">
      <c r="A626" s="45"/>
      <c r="B626" s="45"/>
      <c r="C626" s="45"/>
      <c r="D626" s="45"/>
      <c r="E626" s="45"/>
      <c r="F626" s="45"/>
      <c r="G626" s="45"/>
      <c r="H626" s="45"/>
      <c r="I626" s="45"/>
      <c r="J626" s="45"/>
      <c r="K626" s="45"/>
      <c r="L626" s="45"/>
      <c r="M626" s="45"/>
      <c r="N626" s="45"/>
    </row>
    <row r="627" ht="22.5" customHeight="1">
      <c r="A627" s="45"/>
      <c r="B627" s="45"/>
      <c r="C627" s="45"/>
      <c r="D627" s="45"/>
      <c r="E627" s="45"/>
      <c r="F627" s="45"/>
      <c r="G627" s="45"/>
      <c r="H627" s="45"/>
      <c r="I627" s="45"/>
      <c r="J627" s="45"/>
      <c r="K627" s="45"/>
      <c r="L627" s="45"/>
      <c r="M627" s="45"/>
      <c r="N627" s="45"/>
    </row>
    <row r="628" ht="22.5" customHeight="1">
      <c r="A628" s="45"/>
      <c r="B628" s="45"/>
      <c r="C628" s="45"/>
      <c r="D628" s="45"/>
      <c r="E628" s="45"/>
      <c r="F628" s="45"/>
      <c r="G628" s="45"/>
      <c r="H628" s="45"/>
      <c r="I628" s="45"/>
      <c r="J628" s="45"/>
      <c r="K628" s="45"/>
      <c r="L628" s="45"/>
      <c r="M628" s="45"/>
      <c r="N628" s="45"/>
    </row>
    <row r="629" ht="22.5" customHeight="1">
      <c r="A629" s="45"/>
      <c r="B629" s="45"/>
      <c r="C629" s="45"/>
      <c r="D629" s="45"/>
      <c r="E629" s="45"/>
      <c r="F629" s="45"/>
      <c r="G629" s="45"/>
      <c r="H629" s="45"/>
      <c r="I629" s="45"/>
      <c r="J629" s="45"/>
      <c r="K629" s="45"/>
      <c r="L629" s="45"/>
      <c r="M629" s="45"/>
      <c r="N629" s="45"/>
    </row>
    <row r="630" ht="22.5" customHeight="1">
      <c r="A630" s="45"/>
      <c r="B630" s="45"/>
      <c r="C630" s="45"/>
      <c r="D630" s="45"/>
      <c r="E630" s="45"/>
      <c r="F630" s="45"/>
      <c r="G630" s="45"/>
      <c r="H630" s="45"/>
      <c r="I630" s="45"/>
      <c r="J630" s="45"/>
      <c r="K630" s="45"/>
      <c r="L630" s="45"/>
      <c r="M630" s="45"/>
      <c r="N630" s="45"/>
    </row>
    <row r="631" ht="22.5" customHeight="1">
      <c r="A631" s="45"/>
      <c r="B631" s="45"/>
      <c r="C631" s="45"/>
      <c r="D631" s="45"/>
      <c r="E631" s="45"/>
      <c r="F631" s="45"/>
      <c r="G631" s="45"/>
      <c r="H631" s="45"/>
      <c r="I631" s="45"/>
      <c r="J631" s="45"/>
      <c r="K631" s="45"/>
      <c r="L631" s="45"/>
      <c r="M631" s="45"/>
      <c r="N631" s="45"/>
    </row>
    <row r="632" ht="22.5" customHeight="1">
      <c r="A632" s="45"/>
      <c r="B632" s="45"/>
      <c r="C632" s="45"/>
      <c r="D632" s="45"/>
      <c r="E632" s="45"/>
      <c r="F632" s="45"/>
      <c r="G632" s="45"/>
      <c r="H632" s="45"/>
      <c r="I632" s="45"/>
      <c r="J632" s="45"/>
      <c r="K632" s="45"/>
      <c r="L632" s="45"/>
      <c r="M632" s="45"/>
      <c r="N632" s="45"/>
    </row>
    <row r="633" ht="22.5" customHeight="1">
      <c r="A633" s="45"/>
      <c r="B633" s="45"/>
      <c r="C633" s="45"/>
      <c r="D633" s="45"/>
      <c r="E633" s="45"/>
      <c r="F633" s="45"/>
      <c r="G633" s="45"/>
      <c r="H633" s="45"/>
      <c r="I633" s="45"/>
      <c r="J633" s="45"/>
      <c r="K633" s="45"/>
      <c r="L633" s="45"/>
      <c r="M633" s="45"/>
      <c r="N633" s="45"/>
    </row>
    <row r="634" ht="22.5" customHeight="1">
      <c r="A634" s="45"/>
      <c r="B634" s="45"/>
      <c r="C634" s="45"/>
      <c r="D634" s="45"/>
      <c r="E634" s="45"/>
      <c r="F634" s="45"/>
      <c r="G634" s="45"/>
      <c r="H634" s="45"/>
      <c r="I634" s="45"/>
      <c r="J634" s="45"/>
      <c r="K634" s="45"/>
      <c r="L634" s="45"/>
      <c r="M634" s="45"/>
      <c r="N634" s="45"/>
    </row>
    <row r="635" ht="22.5" customHeight="1">
      <c r="A635" s="45"/>
      <c r="B635" s="45"/>
      <c r="C635" s="45"/>
      <c r="D635" s="45"/>
      <c r="E635" s="45"/>
      <c r="F635" s="45"/>
      <c r="G635" s="45"/>
      <c r="H635" s="45"/>
      <c r="I635" s="45"/>
      <c r="J635" s="45"/>
      <c r="K635" s="45"/>
      <c r="L635" s="45"/>
      <c r="M635" s="45"/>
      <c r="N635" s="45"/>
    </row>
    <row r="636" ht="22.5" customHeight="1">
      <c r="A636" s="45"/>
      <c r="B636" s="45"/>
      <c r="C636" s="45"/>
      <c r="D636" s="45"/>
      <c r="E636" s="45"/>
      <c r="F636" s="45"/>
      <c r="G636" s="45"/>
      <c r="H636" s="45"/>
      <c r="I636" s="45"/>
      <c r="J636" s="45"/>
      <c r="K636" s="45"/>
      <c r="L636" s="45"/>
      <c r="M636" s="45"/>
      <c r="N636" s="45"/>
    </row>
    <row r="637" ht="22.5" customHeight="1">
      <c r="A637" s="45"/>
      <c r="B637" s="45"/>
      <c r="C637" s="45"/>
      <c r="D637" s="45"/>
      <c r="E637" s="45"/>
      <c r="F637" s="45"/>
      <c r="G637" s="45"/>
      <c r="H637" s="45"/>
      <c r="I637" s="45"/>
      <c r="J637" s="45"/>
      <c r="K637" s="45"/>
      <c r="L637" s="45"/>
      <c r="M637" s="45"/>
      <c r="N637" s="45"/>
    </row>
    <row r="638" ht="22.5" customHeight="1">
      <c r="A638" s="45"/>
      <c r="B638" s="45"/>
      <c r="C638" s="45"/>
      <c r="D638" s="45"/>
      <c r="E638" s="45"/>
      <c r="F638" s="45"/>
      <c r="G638" s="45"/>
      <c r="H638" s="45"/>
      <c r="I638" s="45"/>
      <c r="J638" s="45"/>
      <c r="K638" s="45"/>
      <c r="L638" s="45"/>
      <c r="M638" s="45"/>
      <c r="N638" s="45"/>
    </row>
    <row r="639" ht="22.5" customHeight="1">
      <c r="A639" s="45"/>
      <c r="B639" s="45"/>
      <c r="C639" s="45"/>
      <c r="D639" s="45"/>
      <c r="E639" s="45"/>
      <c r="F639" s="45"/>
      <c r="G639" s="45"/>
      <c r="H639" s="45"/>
      <c r="I639" s="45"/>
      <c r="J639" s="45"/>
      <c r="K639" s="45"/>
      <c r="L639" s="45"/>
      <c r="M639" s="45"/>
      <c r="N639" s="45"/>
    </row>
    <row r="640" ht="22.5" customHeight="1">
      <c r="A640" s="45"/>
      <c r="B640" s="45"/>
      <c r="C640" s="45"/>
      <c r="D640" s="45"/>
      <c r="E640" s="45"/>
      <c r="F640" s="45"/>
      <c r="G640" s="45"/>
      <c r="H640" s="45"/>
      <c r="I640" s="45"/>
      <c r="J640" s="45"/>
      <c r="K640" s="45"/>
      <c r="L640" s="45"/>
      <c r="M640" s="45"/>
      <c r="N640" s="45"/>
    </row>
    <row r="641" ht="22.5" customHeight="1">
      <c r="A641" s="45"/>
      <c r="B641" s="45"/>
      <c r="C641" s="45"/>
      <c r="D641" s="45"/>
      <c r="E641" s="45"/>
      <c r="F641" s="45"/>
      <c r="G641" s="45"/>
      <c r="H641" s="45"/>
      <c r="I641" s="45"/>
      <c r="J641" s="45"/>
      <c r="K641" s="45"/>
      <c r="L641" s="45"/>
      <c r="M641" s="45"/>
      <c r="N641" s="45"/>
    </row>
    <row r="642" ht="22.5" customHeight="1">
      <c r="A642" s="45"/>
      <c r="B642" s="45"/>
      <c r="C642" s="45"/>
      <c r="D642" s="45"/>
      <c r="E642" s="45"/>
      <c r="F642" s="45"/>
      <c r="G642" s="45"/>
      <c r="H642" s="45"/>
      <c r="I642" s="45"/>
      <c r="J642" s="45"/>
      <c r="K642" s="45"/>
      <c r="L642" s="45"/>
      <c r="M642" s="45"/>
      <c r="N642" s="45"/>
    </row>
    <row r="643" ht="22.5" customHeight="1">
      <c r="A643" s="45"/>
      <c r="B643" s="45"/>
      <c r="C643" s="45"/>
      <c r="D643" s="45"/>
      <c r="E643" s="45"/>
      <c r="F643" s="45"/>
      <c r="G643" s="45"/>
      <c r="H643" s="45"/>
      <c r="I643" s="45"/>
      <c r="J643" s="45"/>
      <c r="K643" s="45"/>
      <c r="L643" s="45"/>
      <c r="M643" s="45"/>
      <c r="N643" s="45"/>
    </row>
    <row r="644" ht="22.5" customHeight="1">
      <c r="A644" s="45"/>
      <c r="B644" s="45"/>
      <c r="C644" s="45"/>
      <c r="D644" s="45"/>
      <c r="E644" s="45"/>
      <c r="F644" s="45"/>
      <c r="G644" s="45"/>
      <c r="H644" s="45"/>
      <c r="I644" s="45"/>
      <c r="J644" s="45"/>
      <c r="K644" s="45"/>
      <c r="L644" s="45"/>
      <c r="M644" s="45"/>
      <c r="N644" s="45"/>
    </row>
    <row r="645" ht="22.5" customHeight="1">
      <c r="A645" s="45"/>
      <c r="B645" s="45"/>
      <c r="C645" s="45"/>
      <c r="D645" s="45"/>
      <c r="E645" s="45"/>
      <c r="F645" s="45"/>
      <c r="G645" s="45"/>
      <c r="H645" s="45"/>
      <c r="I645" s="45"/>
      <c r="J645" s="45"/>
      <c r="K645" s="45"/>
      <c r="L645" s="45"/>
      <c r="M645" s="45"/>
      <c r="N645" s="45"/>
    </row>
    <row r="646" ht="22.5" customHeight="1">
      <c r="A646" s="45"/>
      <c r="B646" s="45"/>
      <c r="C646" s="45"/>
      <c r="D646" s="45"/>
      <c r="E646" s="45"/>
      <c r="F646" s="45"/>
      <c r="G646" s="45"/>
      <c r="H646" s="45"/>
      <c r="I646" s="45"/>
      <c r="J646" s="45"/>
      <c r="K646" s="45"/>
      <c r="L646" s="45"/>
      <c r="M646" s="45"/>
      <c r="N646" s="45"/>
    </row>
    <row r="647" ht="22.5" customHeight="1">
      <c r="A647" s="45"/>
      <c r="B647" s="45"/>
      <c r="C647" s="45"/>
      <c r="D647" s="45"/>
      <c r="E647" s="45"/>
      <c r="F647" s="45"/>
      <c r="G647" s="45"/>
      <c r="H647" s="45"/>
      <c r="I647" s="45"/>
      <c r="J647" s="45"/>
      <c r="K647" s="45"/>
      <c r="L647" s="45"/>
      <c r="M647" s="45"/>
      <c r="N647" s="45"/>
    </row>
    <row r="648" ht="22.5" customHeight="1">
      <c r="A648" s="45"/>
      <c r="B648" s="45"/>
      <c r="C648" s="45"/>
      <c r="D648" s="45"/>
      <c r="E648" s="45"/>
      <c r="F648" s="45"/>
      <c r="G648" s="45"/>
      <c r="H648" s="45"/>
      <c r="I648" s="45"/>
      <c r="J648" s="45"/>
      <c r="K648" s="45"/>
      <c r="L648" s="45"/>
      <c r="M648" s="45"/>
      <c r="N648" s="45"/>
    </row>
    <row r="649" ht="22.5" customHeight="1">
      <c r="A649" s="45"/>
      <c r="B649" s="45"/>
      <c r="C649" s="45"/>
      <c r="D649" s="45"/>
      <c r="E649" s="45"/>
      <c r="F649" s="45"/>
      <c r="G649" s="45"/>
      <c r="H649" s="45"/>
      <c r="I649" s="45"/>
      <c r="J649" s="45"/>
      <c r="K649" s="45"/>
      <c r="L649" s="45"/>
      <c r="M649" s="45"/>
      <c r="N649" s="45"/>
    </row>
    <row r="650" ht="22.5" customHeight="1">
      <c r="A650" s="45"/>
      <c r="B650" s="45"/>
      <c r="C650" s="45"/>
      <c r="D650" s="45"/>
      <c r="E650" s="45"/>
      <c r="F650" s="45"/>
      <c r="G650" s="45"/>
      <c r="H650" s="45"/>
      <c r="I650" s="45"/>
      <c r="J650" s="45"/>
      <c r="K650" s="45"/>
      <c r="L650" s="45"/>
      <c r="M650" s="45"/>
      <c r="N650" s="45"/>
    </row>
    <row r="651" ht="22.5" customHeight="1">
      <c r="A651" s="45"/>
      <c r="B651" s="45"/>
      <c r="C651" s="45"/>
      <c r="D651" s="45"/>
      <c r="E651" s="45"/>
      <c r="F651" s="45"/>
      <c r="G651" s="45"/>
      <c r="H651" s="45"/>
      <c r="I651" s="45"/>
      <c r="J651" s="45"/>
      <c r="K651" s="45"/>
      <c r="L651" s="45"/>
      <c r="M651" s="45"/>
      <c r="N651" s="45"/>
    </row>
    <row r="652" ht="22.5" customHeight="1">
      <c r="A652" s="45"/>
      <c r="B652" s="45"/>
      <c r="C652" s="45"/>
      <c r="D652" s="45"/>
      <c r="E652" s="45"/>
      <c r="F652" s="45"/>
      <c r="G652" s="45"/>
      <c r="H652" s="45"/>
      <c r="I652" s="45"/>
      <c r="J652" s="45"/>
      <c r="K652" s="45"/>
      <c r="L652" s="45"/>
      <c r="M652" s="45"/>
      <c r="N652" s="45"/>
    </row>
    <row r="653" ht="22.5" customHeight="1">
      <c r="A653" s="45"/>
      <c r="B653" s="45"/>
      <c r="C653" s="45"/>
      <c r="D653" s="45"/>
      <c r="E653" s="45"/>
      <c r="F653" s="45"/>
      <c r="G653" s="45"/>
      <c r="H653" s="45"/>
      <c r="I653" s="45"/>
      <c r="J653" s="45"/>
      <c r="K653" s="45"/>
      <c r="L653" s="45"/>
      <c r="M653" s="45"/>
      <c r="N653" s="45"/>
    </row>
    <row r="654" ht="22.5" customHeight="1">
      <c r="A654" s="45"/>
      <c r="B654" s="45"/>
      <c r="C654" s="45"/>
      <c r="D654" s="45"/>
      <c r="E654" s="45"/>
      <c r="F654" s="45"/>
      <c r="G654" s="45"/>
      <c r="H654" s="45"/>
      <c r="I654" s="45"/>
      <c r="J654" s="45"/>
      <c r="K654" s="45"/>
      <c r="L654" s="45"/>
      <c r="M654" s="45"/>
      <c r="N654" s="45"/>
    </row>
    <row r="655" ht="22.5" customHeight="1">
      <c r="A655" s="45"/>
      <c r="B655" s="45"/>
      <c r="C655" s="45"/>
      <c r="D655" s="45"/>
      <c r="E655" s="45"/>
      <c r="F655" s="45"/>
      <c r="G655" s="45"/>
      <c r="H655" s="45"/>
      <c r="I655" s="45"/>
      <c r="J655" s="45"/>
      <c r="K655" s="45"/>
      <c r="L655" s="45"/>
      <c r="M655" s="45"/>
      <c r="N655" s="45"/>
    </row>
    <row r="656" ht="22.5" customHeight="1">
      <c r="A656" s="45"/>
      <c r="B656" s="45"/>
      <c r="C656" s="45"/>
      <c r="D656" s="45"/>
      <c r="E656" s="45"/>
      <c r="F656" s="45"/>
      <c r="G656" s="45"/>
      <c r="H656" s="45"/>
      <c r="I656" s="45"/>
      <c r="J656" s="45"/>
      <c r="K656" s="45"/>
      <c r="L656" s="45"/>
      <c r="M656" s="45"/>
      <c r="N656" s="45"/>
    </row>
    <row r="657" ht="22.5" customHeight="1">
      <c r="A657" s="45"/>
      <c r="B657" s="45"/>
      <c r="C657" s="45"/>
      <c r="D657" s="45"/>
      <c r="E657" s="45"/>
      <c r="F657" s="45"/>
      <c r="G657" s="45"/>
      <c r="H657" s="45"/>
      <c r="I657" s="45"/>
      <c r="J657" s="45"/>
      <c r="K657" s="45"/>
      <c r="L657" s="45"/>
      <c r="M657" s="45"/>
      <c r="N657" s="45"/>
    </row>
    <row r="658" ht="22.5" customHeight="1">
      <c r="A658" s="45"/>
      <c r="B658" s="45"/>
      <c r="C658" s="45"/>
      <c r="D658" s="45"/>
      <c r="E658" s="45"/>
      <c r="F658" s="45"/>
      <c r="G658" s="45"/>
      <c r="H658" s="45"/>
      <c r="I658" s="45"/>
      <c r="J658" s="45"/>
      <c r="K658" s="45"/>
      <c r="L658" s="45"/>
      <c r="M658" s="45"/>
      <c r="N658" s="45"/>
    </row>
    <row r="659" ht="22.5" customHeight="1">
      <c r="A659" s="45"/>
      <c r="B659" s="45"/>
      <c r="C659" s="45"/>
      <c r="D659" s="45"/>
      <c r="E659" s="45"/>
      <c r="F659" s="45"/>
      <c r="G659" s="45"/>
      <c r="H659" s="45"/>
      <c r="I659" s="45"/>
      <c r="J659" s="45"/>
      <c r="K659" s="45"/>
      <c r="L659" s="45"/>
      <c r="M659" s="45"/>
      <c r="N659" s="45"/>
    </row>
    <row r="660" ht="22.5" customHeight="1">
      <c r="A660" s="45"/>
      <c r="B660" s="45"/>
      <c r="C660" s="45"/>
      <c r="D660" s="45"/>
      <c r="E660" s="45"/>
      <c r="F660" s="45"/>
      <c r="G660" s="45"/>
      <c r="H660" s="45"/>
      <c r="I660" s="45"/>
      <c r="J660" s="45"/>
      <c r="K660" s="45"/>
      <c r="L660" s="45"/>
      <c r="M660" s="45"/>
      <c r="N660" s="45"/>
    </row>
    <row r="661" ht="22.5" customHeight="1">
      <c r="A661" s="45"/>
      <c r="B661" s="45"/>
      <c r="C661" s="45"/>
      <c r="D661" s="45"/>
      <c r="E661" s="45"/>
      <c r="F661" s="45"/>
      <c r="G661" s="45"/>
      <c r="H661" s="45"/>
      <c r="I661" s="45"/>
      <c r="J661" s="45"/>
      <c r="K661" s="45"/>
      <c r="L661" s="45"/>
      <c r="M661" s="45"/>
      <c r="N661" s="45"/>
    </row>
    <row r="662" ht="22.5" customHeight="1">
      <c r="A662" s="45"/>
      <c r="B662" s="45"/>
      <c r="C662" s="45"/>
      <c r="D662" s="45"/>
      <c r="E662" s="45"/>
      <c r="F662" s="45"/>
      <c r="G662" s="45"/>
      <c r="H662" s="45"/>
      <c r="I662" s="45"/>
      <c r="J662" s="45"/>
      <c r="K662" s="45"/>
      <c r="L662" s="45"/>
      <c r="M662" s="45"/>
      <c r="N662" s="45"/>
    </row>
    <row r="663" ht="22.5" customHeight="1">
      <c r="A663" s="45"/>
      <c r="B663" s="45"/>
      <c r="C663" s="45"/>
      <c r="D663" s="45"/>
      <c r="E663" s="45"/>
      <c r="F663" s="45"/>
      <c r="G663" s="45"/>
      <c r="H663" s="45"/>
      <c r="I663" s="45"/>
      <c r="J663" s="45"/>
      <c r="K663" s="45"/>
      <c r="L663" s="45"/>
      <c r="M663" s="45"/>
      <c r="N663" s="45"/>
    </row>
    <row r="664" ht="22.5" customHeight="1">
      <c r="A664" s="45"/>
      <c r="B664" s="45"/>
      <c r="C664" s="45"/>
      <c r="D664" s="45"/>
      <c r="E664" s="45"/>
      <c r="F664" s="45"/>
      <c r="G664" s="45"/>
      <c r="H664" s="45"/>
      <c r="I664" s="45"/>
      <c r="J664" s="45"/>
      <c r="K664" s="45"/>
      <c r="L664" s="45"/>
      <c r="M664" s="45"/>
      <c r="N664" s="45"/>
    </row>
    <row r="665" ht="22.5" customHeight="1">
      <c r="A665" s="45"/>
      <c r="B665" s="45"/>
      <c r="C665" s="45"/>
      <c r="D665" s="45"/>
      <c r="E665" s="45"/>
      <c r="F665" s="45"/>
      <c r="G665" s="45"/>
      <c r="H665" s="45"/>
      <c r="I665" s="45"/>
      <c r="J665" s="45"/>
      <c r="K665" s="45"/>
      <c r="L665" s="45"/>
      <c r="M665" s="45"/>
      <c r="N665" s="45"/>
    </row>
    <row r="666" ht="22.5" customHeight="1">
      <c r="A666" s="45"/>
      <c r="B666" s="45"/>
      <c r="C666" s="45"/>
      <c r="D666" s="45"/>
      <c r="E666" s="45"/>
      <c r="F666" s="45"/>
      <c r="G666" s="45"/>
      <c r="H666" s="45"/>
      <c r="I666" s="45"/>
      <c r="J666" s="45"/>
      <c r="K666" s="45"/>
      <c r="L666" s="45"/>
      <c r="M666" s="45"/>
      <c r="N666" s="45"/>
    </row>
    <row r="667" ht="22.5" customHeight="1">
      <c r="A667" s="45"/>
      <c r="B667" s="45"/>
      <c r="C667" s="45"/>
      <c r="D667" s="45"/>
      <c r="E667" s="45"/>
      <c r="F667" s="45"/>
      <c r="G667" s="45"/>
      <c r="H667" s="45"/>
      <c r="I667" s="45"/>
      <c r="J667" s="45"/>
      <c r="K667" s="45"/>
      <c r="L667" s="45"/>
      <c r="M667" s="45"/>
      <c r="N667" s="45"/>
    </row>
    <row r="668" ht="22.5" customHeight="1">
      <c r="A668" s="45"/>
      <c r="B668" s="45"/>
      <c r="C668" s="45"/>
      <c r="D668" s="45"/>
      <c r="E668" s="45"/>
      <c r="F668" s="45"/>
      <c r="G668" s="45"/>
      <c r="H668" s="45"/>
      <c r="I668" s="45"/>
      <c r="J668" s="45"/>
      <c r="K668" s="45"/>
      <c r="L668" s="45"/>
      <c r="M668" s="45"/>
      <c r="N668" s="45"/>
    </row>
    <row r="669" ht="22.5" customHeight="1">
      <c r="A669" s="45"/>
      <c r="B669" s="45"/>
      <c r="C669" s="45"/>
      <c r="D669" s="45"/>
      <c r="E669" s="45"/>
      <c r="F669" s="45"/>
      <c r="G669" s="45"/>
      <c r="H669" s="45"/>
      <c r="I669" s="45"/>
      <c r="J669" s="45"/>
      <c r="K669" s="45"/>
      <c r="L669" s="45"/>
      <c r="M669" s="45"/>
      <c r="N669" s="45"/>
    </row>
    <row r="670" ht="22.5" customHeight="1">
      <c r="A670" s="45"/>
      <c r="B670" s="45"/>
      <c r="C670" s="45"/>
      <c r="D670" s="45"/>
      <c r="E670" s="45"/>
      <c r="F670" s="45"/>
      <c r="G670" s="45"/>
      <c r="H670" s="45"/>
      <c r="I670" s="45"/>
      <c r="J670" s="45"/>
      <c r="K670" s="45"/>
      <c r="L670" s="45"/>
      <c r="M670" s="45"/>
      <c r="N670" s="45"/>
    </row>
    <row r="671" ht="22.5" customHeight="1">
      <c r="A671" s="45"/>
      <c r="B671" s="45"/>
      <c r="C671" s="45"/>
      <c r="D671" s="45"/>
      <c r="E671" s="45"/>
      <c r="F671" s="45"/>
      <c r="G671" s="45"/>
      <c r="H671" s="45"/>
      <c r="I671" s="45"/>
      <c r="J671" s="45"/>
      <c r="K671" s="45"/>
      <c r="L671" s="45"/>
      <c r="M671" s="45"/>
      <c r="N671" s="45"/>
    </row>
    <row r="672" ht="22.5" customHeight="1">
      <c r="A672" s="45"/>
      <c r="B672" s="45"/>
      <c r="C672" s="45"/>
      <c r="D672" s="45"/>
      <c r="E672" s="45"/>
      <c r="F672" s="45"/>
      <c r="G672" s="45"/>
      <c r="H672" s="45"/>
      <c r="I672" s="45"/>
      <c r="J672" s="45"/>
      <c r="K672" s="45"/>
      <c r="L672" s="45"/>
      <c r="M672" s="45"/>
      <c r="N672" s="45"/>
    </row>
    <row r="673" ht="22.5" customHeight="1">
      <c r="A673" s="45"/>
      <c r="B673" s="45"/>
      <c r="C673" s="45"/>
      <c r="D673" s="45"/>
      <c r="E673" s="45"/>
      <c r="F673" s="45"/>
      <c r="G673" s="45"/>
      <c r="H673" s="45"/>
      <c r="I673" s="45"/>
      <c r="J673" s="45"/>
      <c r="K673" s="45"/>
      <c r="L673" s="45"/>
      <c r="M673" s="45"/>
      <c r="N673" s="45"/>
    </row>
    <row r="674" ht="22.5" customHeight="1">
      <c r="A674" s="45"/>
      <c r="B674" s="45"/>
      <c r="C674" s="45"/>
      <c r="D674" s="45"/>
      <c r="E674" s="45"/>
      <c r="F674" s="45"/>
      <c r="G674" s="45"/>
      <c r="H674" s="45"/>
      <c r="I674" s="45"/>
      <c r="J674" s="45"/>
      <c r="K674" s="45"/>
      <c r="L674" s="45"/>
      <c r="M674" s="45"/>
      <c r="N674" s="45"/>
    </row>
    <row r="675" ht="22.5" customHeight="1">
      <c r="A675" s="45"/>
      <c r="B675" s="45"/>
      <c r="C675" s="45"/>
      <c r="D675" s="45"/>
      <c r="E675" s="45"/>
      <c r="F675" s="45"/>
      <c r="G675" s="45"/>
      <c r="H675" s="45"/>
      <c r="I675" s="45"/>
      <c r="J675" s="45"/>
      <c r="K675" s="45"/>
      <c r="L675" s="45"/>
      <c r="M675" s="45"/>
      <c r="N675" s="45"/>
    </row>
    <row r="676" ht="22.5" customHeight="1">
      <c r="A676" s="45"/>
      <c r="B676" s="45"/>
      <c r="C676" s="45"/>
      <c r="D676" s="45"/>
      <c r="E676" s="45"/>
      <c r="F676" s="45"/>
      <c r="G676" s="45"/>
      <c r="H676" s="45"/>
      <c r="I676" s="45"/>
      <c r="J676" s="45"/>
      <c r="K676" s="45"/>
      <c r="L676" s="45"/>
      <c r="M676" s="45"/>
      <c r="N676" s="45"/>
    </row>
    <row r="677" ht="22.5" customHeight="1">
      <c r="A677" s="45"/>
      <c r="B677" s="45"/>
      <c r="C677" s="45"/>
      <c r="D677" s="45"/>
      <c r="E677" s="45"/>
      <c r="F677" s="45"/>
      <c r="G677" s="45"/>
      <c r="H677" s="45"/>
      <c r="I677" s="45"/>
      <c r="J677" s="45"/>
      <c r="K677" s="45"/>
      <c r="L677" s="45"/>
      <c r="M677" s="45"/>
      <c r="N677" s="45"/>
    </row>
    <row r="678" ht="22.5" customHeight="1">
      <c r="A678" s="45"/>
      <c r="B678" s="45"/>
      <c r="C678" s="45"/>
      <c r="D678" s="45"/>
      <c r="E678" s="45"/>
      <c r="F678" s="45"/>
      <c r="G678" s="45"/>
      <c r="H678" s="45"/>
      <c r="I678" s="45"/>
      <c r="J678" s="45"/>
      <c r="K678" s="45"/>
      <c r="L678" s="45"/>
      <c r="M678" s="45"/>
      <c r="N678" s="45"/>
    </row>
    <row r="679" ht="22.5" customHeight="1">
      <c r="A679" s="45"/>
      <c r="B679" s="45"/>
      <c r="C679" s="45"/>
      <c r="D679" s="45"/>
      <c r="E679" s="45"/>
      <c r="F679" s="45"/>
      <c r="G679" s="45"/>
      <c r="H679" s="45"/>
      <c r="I679" s="45"/>
      <c r="J679" s="45"/>
      <c r="K679" s="45"/>
      <c r="L679" s="45"/>
      <c r="M679" s="45"/>
      <c r="N679" s="45"/>
    </row>
    <row r="680" ht="22.5" customHeight="1">
      <c r="A680" s="45"/>
      <c r="B680" s="45"/>
      <c r="C680" s="45"/>
      <c r="D680" s="45"/>
      <c r="E680" s="45"/>
      <c r="F680" s="45"/>
      <c r="G680" s="45"/>
      <c r="H680" s="45"/>
      <c r="I680" s="45"/>
      <c r="J680" s="45"/>
      <c r="K680" s="45"/>
      <c r="L680" s="45"/>
      <c r="M680" s="45"/>
      <c r="N680" s="45"/>
    </row>
    <row r="681" ht="22.5" customHeight="1">
      <c r="A681" s="45"/>
      <c r="B681" s="45"/>
      <c r="C681" s="45"/>
      <c r="D681" s="45"/>
      <c r="E681" s="45"/>
      <c r="F681" s="45"/>
      <c r="G681" s="45"/>
      <c r="H681" s="45"/>
      <c r="I681" s="45"/>
      <c r="J681" s="45"/>
      <c r="K681" s="45"/>
      <c r="L681" s="45"/>
      <c r="M681" s="45"/>
      <c r="N681" s="45"/>
    </row>
    <row r="682" ht="22.5" customHeight="1">
      <c r="A682" s="45"/>
      <c r="B682" s="45"/>
      <c r="C682" s="45"/>
      <c r="D682" s="45"/>
      <c r="E682" s="45"/>
      <c r="F682" s="45"/>
      <c r="G682" s="45"/>
      <c r="H682" s="45"/>
      <c r="I682" s="45"/>
      <c r="J682" s="45"/>
      <c r="K682" s="45"/>
      <c r="L682" s="45"/>
      <c r="M682" s="45"/>
      <c r="N682" s="45"/>
    </row>
    <row r="683" ht="22.5" customHeight="1">
      <c r="A683" s="45"/>
      <c r="B683" s="45"/>
      <c r="C683" s="45"/>
      <c r="D683" s="45"/>
      <c r="E683" s="45"/>
      <c r="F683" s="45"/>
      <c r="G683" s="45"/>
      <c r="H683" s="45"/>
      <c r="I683" s="45"/>
      <c r="J683" s="45"/>
      <c r="K683" s="45"/>
      <c r="L683" s="45"/>
      <c r="M683" s="45"/>
      <c r="N683" s="45"/>
    </row>
    <row r="684" ht="22.5" customHeight="1">
      <c r="A684" s="45"/>
      <c r="B684" s="45"/>
      <c r="C684" s="45"/>
      <c r="D684" s="45"/>
      <c r="E684" s="45"/>
      <c r="F684" s="45"/>
      <c r="G684" s="45"/>
      <c r="H684" s="45"/>
      <c r="I684" s="45"/>
      <c r="J684" s="45"/>
      <c r="K684" s="45"/>
      <c r="L684" s="45"/>
      <c r="M684" s="45"/>
      <c r="N684" s="45"/>
    </row>
    <row r="685" ht="22.5" customHeight="1">
      <c r="A685" s="45"/>
      <c r="B685" s="45"/>
      <c r="C685" s="45"/>
      <c r="D685" s="45"/>
      <c r="E685" s="45"/>
      <c r="F685" s="45"/>
      <c r="G685" s="45"/>
      <c r="H685" s="45"/>
      <c r="I685" s="45"/>
      <c r="J685" s="45"/>
      <c r="K685" s="45"/>
      <c r="L685" s="45"/>
      <c r="M685" s="45"/>
      <c r="N685" s="45"/>
    </row>
    <row r="686" ht="22.5" customHeight="1">
      <c r="A686" s="45"/>
      <c r="B686" s="45"/>
      <c r="C686" s="45"/>
      <c r="D686" s="45"/>
      <c r="E686" s="45"/>
      <c r="F686" s="45"/>
      <c r="G686" s="45"/>
      <c r="H686" s="45"/>
      <c r="I686" s="45"/>
      <c r="J686" s="45"/>
      <c r="K686" s="45"/>
      <c r="L686" s="45"/>
      <c r="M686" s="45"/>
      <c r="N686" s="45"/>
    </row>
    <row r="687" ht="22.5" customHeight="1">
      <c r="A687" s="45"/>
      <c r="B687" s="45"/>
      <c r="C687" s="45"/>
      <c r="D687" s="45"/>
      <c r="E687" s="45"/>
      <c r="F687" s="45"/>
      <c r="G687" s="45"/>
      <c r="H687" s="45"/>
      <c r="I687" s="45"/>
      <c r="J687" s="45"/>
      <c r="K687" s="45"/>
      <c r="L687" s="45"/>
      <c r="M687" s="45"/>
      <c r="N687" s="45"/>
    </row>
    <row r="688" ht="22.5" customHeight="1">
      <c r="A688" s="45"/>
      <c r="B688" s="45"/>
      <c r="C688" s="45"/>
      <c r="D688" s="45"/>
      <c r="E688" s="45"/>
      <c r="F688" s="45"/>
      <c r="G688" s="45"/>
      <c r="H688" s="45"/>
      <c r="I688" s="45"/>
      <c r="J688" s="45"/>
      <c r="K688" s="45"/>
      <c r="L688" s="45"/>
      <c r="M688" s="45"/>
      <c r="N688" s="45"/>
    </row>
    <row r="689" ht="22.5" customHeight="1">
      <c r="A689" s="45"/>
      <c r="B689" s="45"/>
      <c r="C689" s="45"/>
      <c r="D689" s="45"/>
      <c r="E689" s="45"/>
      <c r="F689" s="45"/>
      <c r="G689" s="45"/>
      <c r="H689" s="45"/>
      <c r="I689" s="45"/>
      <c r="J689" s="45"/>
      <c r="K689" s="45"/>
      <c r="L689" s="45"/>
      <c r="M689" s="45"/>
      <c r="N689" s="45"/>
    </row>
    <row r="690" ht="22.5" customHeight="1">
      <c r="A690" s="45"/>
      <c r="B690" s="45"/>
      <c r="C690" s="45"/>
      <c r="D690" s="45"/>
      <c r="E690" s="45"/>
      <c r="F690" s="45"/>
      <c r="G690" s="45"/>
      <c r="H690" s="45"/>
      <c r="I690" s="45"/>
      <c r="J690" s="45"/>
      <c r="K690" s="45"/>
      <c r="L690" s="45"/>
      <c r="M690" s="45"/>
      <c r="N690" s="45"/>
    </row>
    <row r="691" ht="22.5" customHeight="1">
      <c r="A691" s="45"/>
      <c r="B691" s="45"/>
      <c r="C691" s="45"/>
      <c r="D691" s="45"/>
      <c r="E691" s="45"/>
      <c r="F691" s="45"/>
      <c r="G691" s="45"/>
      <c r="H691" s="45"/>
      <c r="I691" s="45"/>
      <c r="J691" s="45"/>
      <c r="K691" s="45"/>
      <c r="L691" s="45"/>
      <c r="M691" s="45"/>
      <c r="N691" s="45"/>
    </row>
    <row r="692" ht="22.5" customHeight="1">
      <c r="A692" s="45"/>
      <c r="B692" s="45"/>
      <c r="C692" s="45"/>
      <c r="D692" s="45"/>
      <c r="E692" s="45"/>
      <c r="F692" s="45"/>
      <c r="G692" s="45"/>
      <c r="H692" s="45"/>
      <c r="I692" s="45"/>
      <c r="J692" s="45"/>
      <c r="K692" s="45"/>
      <c r="L692" s="45"/>
      <c r="M692" s="45"/>
      <c r="N692" s="45"/>
    </row>
    <row r="693" ht="22.5" customHeight="1">
      <c r="A693" s="45"/>
      <c r="B693" s="45"/>
      <c r="C693" s="45"/>
      <c r="D693" s="45"/>
      <c r="E693" s="45"/>
      <c r="F693" s="45"/>
      <c r="G693" s="45"/>
      <c r="H693" s="45"/>
      <c r="I693" s="45"/>
      <c r="J693" s="45"/>
      <c r="K693" s="45"/>
      <c r="L693" s="45"/>
      <c r="M693" s="45"/>
      <c r="N693" s="45"/>
    </row>
    <row r="694" ht="22.5" customHeight="1">
      <c r="A694" s="45"/>
      <c r="B694" s="45"/>
      <c r="C694" s="45"/>
      <c r="D694" s="45"/>
      <c r="E694" s="45"/>
      <c r="F694" s="45"/>
      <c r="G694" s="45"/>
      <c r="H694" s="45"/>
      <c r="I694" s="45"/>
      <c r="J694" s="45"/>
      <c r="K694" s="45"/>
      <c r="L694" s="45"/>
      <c r="M694" s="45"/>
      <c r="N694" s="45"/>
    </row>
    <row r="695" ht="22.5" customHeight="1">
      <c r="A695" s="45"/>
      <c r="B695" s="45"/>
      <c r="C695" s="45"/>
      <c r="D695" s="45"/>
      <c r="E695" s="45"/>
      <c r="F695" s="45"/>
      <c r="G695" s="45"/>
      <c r="H695" s="45"/>
      <c r="I695" s="45"/>
      <c r="J695" s="45"/>
      <c r="K695" s="45"/>
      <c r="L695" s="45"/>
      <c r="M695" s="45"/>
      <c r="N695" s="45"/>
    </row>
    <row r="696" ht="22.5" customHeight="1">
      <c r="A696" s="45"/>
      <c r="B696" s="45"/>
      <c r="C696" s="45"/>
      <c r="D696" s="45"/>
      <c r="E696" s="45"/>
      <c r="F696" s="45"/>
      <c r="G696" s="45"/>
      <c r="H696" s="45"/>
      <c r="I696" s="45"/>
      <c r="J696" s="45"/>
      <c r="K696" s="45"/>
      <c r="L696" s="45"/>
      <c r="M696" s="45"/>
      <c r="N696" s="45"/>
    </row>
    <row r="697" ht="22.5" customHeight="1">
      <c r="A697" s="45"/>
      <c r="B697" s="45"/>
      <c r="C697" s="45"/>
      <c r="D697" s="45"/>
      <c r="E697" s="45"/>
      <c r="F697" s="45"/>
      <c r="G697" s="45"/>
      <c r="H697" s="45"/>
      <c r="I697" s="45"/>
      <c r="J697" s="45"/>
      <c r="K697" s="45"/>
      <c r="L697" s="45"/>
      <c r="M697" s="45"/>
      <c r="N697" s="45"/>
    </row>
    <row r="698" ht="22.5" customHeight="1">
      <c r="A698" s="45"/>
      <c r="B698" s="45"/>
      <c r="C698" s="45"/>
      <c r="D698" s="45"/>
      <c r="E698" s="45"/>
      <c r="F698" s="45"/>
      <c r="G698" s="45"/>
      <c r="H698" s="45"/>
      <c r="I698" s="45"/>
      <c r="J698" s="45"/>
      <c r="K698" s="45"/>
      <c r="L698" s="45"/>
      <c r="M698" s="45"/>
      <c r="N698" s="45"/>
    </row>
    <row r="699" ht="22.5" customHeight="1">
      <c r="A699" s="45"/>
      <c r="B699" s="45"/>
      <c r="C699" s="45"/>
      <c r="D699" s="45"/>
      <c r="E699" s="45"/>
      <c r="F699" s="45"/>
      <c r="G699" s="45"/>
      <c r="H699" s="45"/>
      <c r="I699" s="45"/>
      <c r="J699" s="45"/>
      <c r="K699" s="45"/>
      <c r="L699" s="45"/>
      <c r="M699" s="45"/>
      <c r="N699" s="45"/>
    </row>
    <row r="700" ht="22.5" customHeight="1">
      <c r="A700" s="45"/>
      <c r="B700" s="45"/>
      <c r="C700" s="45"/>
      <c r="D700" s="45"/>
      <c r="E700" s="45"/>
      <c r="F700" s="45"/>
      <c r="G700" s="45"/>
      <c r="H700" s="45"/>
      <c r="I700" s="45"/>
      <c r="J700" s="45"/>
      <c r="K700" s="45"/>
      <c r="L700" s="45"/>
      <c r="M700" s="45"/>
      <c r="N700" s="45"/>
    </row>
    <row r="701" ht="22.5" customHeight="1">
      <c r="A701" s="45"/>
      <c r="B701" s="45"/>
      <c r="C701" s="45"/>
      <c r="D701" s="45"/>
      <c r="E701" s="45"/>
      <c r="F701" s="45"/>
      <c r="G701" s="45"/>
      <c r="H701" s="45"/>
      <c r="I701" s="45"/>
      <c r="J701" s="45"/>
      <c r="K701" s="45"/>
      <c r="L701" s="45"/>
      <c r="M701" s="45"/>
      <c r="N701" s="45"/>
    </row>
    <row r="702" ht="22.5" customHeight="1">
      <c r="A702" s="45"/>
      <c r="B702" s="45"/>
      <c r="C702" s="45"/>
      <c r="D702" s="45"/>
      <c r="E702" s="45"/>
      <c r="F702" s="45"/>
      <c r="G702" s="45"/>
      <c r="H702" s="45"/>
      <c r="I702" s="45"/>
      <c r="J702" s="45"/>
      <c r="K702" s="45"/>
      <c r="L702" s="45"/>
      <c r="M702" s="45"/>
      <c r="N702" s="45"/>
    </row>
    <row r="703" ht="22.5" customHeight="1">
      <c r="A703" s="45"/>
      <c r="B703" s="45"/>
      <c r="C703" s="45"/>
      <c r="D703" s="45"/>
      <c r="E703" s="45"/>
      <c r="F703" s="45"/>
      <c r="G703" s="45"/>
      <c r="H703" s="45"/>
      <c r="I703" s="45"/>
      <c r="J703" s="45"/>
      <c r="K703" s="45"/>
      <c r="L703" s="45"/>
      <c r="M703" s="45"/>
      <c r="N703" s="45"/>
    </row>
    <row r="704" ht="22.5" customHeight="1">
      <c r="A704" s="45"/>
      <c r="B704" s="45"/>
      <c r="C704" s="45"/>
      <c r="D704" s="45"/>
      <c r="E704" s="45"/>
      <c r="F704" s="45"/>
      <c r="G704" s="45"/>
      <c r="H704" s="45"/>
      <c r="I704" s="45"/>
      <c r="J704" s="45"/>
      <c r="K704" s="45"/>
      <c r="L704" s="45"/>
      <c r="M704" s="45"/>
      <c r="N704" s="45"/>
    </row>
    <row r="705" ht="22.5" customHeight="1">
      <c r="A705" s="45"/>
      <c r="B705" s="45"/>
      <c r="C705" s="45"/>
      <c r="D705" s="45"/>
      <c r="E705" s="45"/>
      <c r="F705" s="45"/>
      <c r="G705" s="45"/>
      <c r="H705" s="45"/>
      <c r="I705" s="45"/>
      <c r="J705" s="45"/>
      <c r="K705" s="45"/>
      <c r="L705" s="45"/>
      <c r="M705" s="45"/>
      <c r="N705" s="45"/>
    </row>
    <row r="706" ht="22.5" customHeight="1">
      <c r="A706" s="45"/>
      <c r="B706" s="45"/>
      <c r="C706" s="45"/>
      <c r="D706" s="45"/>
      <c r="E706" s="45"/>
      <c r="F706" s="45"/>
      <c r="G706" s="45"/>
      <c r="H706" s="45"/>
      <c r="I706" s="45"/>
      <c r="J706" s="45"/>
      <c r="K706" s="45"/>
      <c r="L706" s="45"/>
      <c r="M706" s="45"/>
      <c r="N706" s="45"/>
    </row>
    <row r="707" ht="22.5" customHeight="1">
      <c r="A707" s="45"/>
      <c r="B707" s="45"/>
      <c r="C707" s="45"/>
      <c r="D707" s="45"/>
      <c r="E707" s="45"/>
      <c r="F707" s="45"/>
      <c r="G707" s="45"/>
      <c r="H707" s="45"/>
      <c r="I707" s="45"/>
      <c r="J707" s="45"/>
      <c r="K707" s="45"/>
      <c r="L707" s="45"/>
      <c r="M707" s="45"/>
      <c r="N707" s="45"/>
    </row>
    <row r="708" ht="22.5" customHeight="1">
      <c r="A708" s="45"/>
      <c r="B708" s="45"/>
      <c r="C708" s="45"/>
      <c r="D708" s="45"/>
      <c r="E708" s="45"/>
      <c r="F708" s="45"/>
      <c r="G708" s="45"/>
      <c r="H708" s="45"/>
      <c r="I708" s="45"/>
      <c r="J708" s="45"/>
      <c r="K708" s="45"/>
      <c r="L708" s="45"/>
      <c r="M708" s="45"/>
      <c r="N708" s="45"/>
    </row>
    <row r="709" ht="22.5" customHeight="1">
      <c r="A709" s="45"/>
      <c r="B709" s="45"/>
      <c r="C709" s="45"/>
      <c r="D709" s="45"/>
      <c r="E709" s="45"/>
      <c r="F709" s="45"/>
      <c r="G709" s="45"/>
      <c r="H709" s="45"/>
      <c r="I709" s="45"/>
      <c r="J709" s="45"/>
      <c r="K709" s="45"/>
      <c r="L709" s="45"/>
      <c r="M709" s="45"/>
      <c r="N709" s="45"/>
    </row>
    <row r="710" ht="22.5" customHeight="1">
      <c r="A710" s="45"/>
      <c r="B710" s="45"/>
      <c r="C710" s="45"/>
      <c r="D710" s="45"/>
      <c r="E710" s="45"/>
      <c r="F710" s="45"/>
      <c r="G710" s="45"/>
      <c r="H710" s="45"/>
      <c r="I710" s="45"/>
      <c r="J710" s="45"/>
      <c r="K710" s="45"/>
      <c r="L710" s="45"/>
      <c r="M710" s="45"/>
      <c r="N710" s="45"/>
    </row>
    <row r="711" ht="22.5" customHeight="1">
      <c r="A711" s="45"/>
      <c r="B711" s="45"/>
      <c r="C711" s="45"/>
      <c r="D711" s="45"/>
      <c r="E711" s="45"/>
      <c r="F711" s="45"/>
      <c r="G711" s="45"/>
      <c r="H711" s="45"/>
      <c r="I711" s="45"/>
      <c r="J711" s="45"/>
      <c r="K711" s="45"/>
      <c r="L711" s="45"/>
      <c r="M711" s="45"/>
      <c r="N711" s="45"/>
    </row>
    <row r="712" ht="22.5" customHeight="1">
      <c r="A712" s="45"/>
      <c r="B712" s="45"/>
      <c r="C712" s="45"/>
      <c r="D712" s="45"/>
      <c r="E712" s="45"/>
      <c r="F712" s="45"/>
      <c r="G712" s="45"/>
      <c r="H712" s="45"/>
      <c r="I712" s="45"/>
      <c r="J712" s="45"/>
      <c r="K712" s="45"/>
      <c r="L712" s="45"/>
      <c r="M712" s="45"/>
      <c r="N712" s="45"/>
    </row>
    <row r="713" ht="22.5" customHeight="1">
      <c r="A713" s="45"/>
      <c r="B713" s="45"/>
      <c r="C713" s="45"/>
      <c r="D713" s="45"/>
      <c r="E713" s="45"/>
      <c r="F713" s="45"/>
      <c r="G713" s="45"/>
      <c r="H713" s="45"/>
      <c r="I713" s="45"/>
      <c r="J713" s="45"/>
      <c r="K713" s="45"/>
      <c r="L713" s="45"/>
      <c r="M713" s="45"/>
      <c r="N713" s="45"/>
    </row>
    <row r="714" ht="22.5" customHeight="1">
      <c r="A714" s="45"/>
      <c r="B714" s="45"/>
      <c r="C714" s="45"/>
      <c r="D714" s="45"/>
      <c r="E714" s="45"/>
      <c r="F714" s="45"/>
      <c r="G714" s="45"/>
      <c r="H714" s="45"/>
      <c r="I714" s="45"/>
      <c r="J714" s="45"/>
      <c r="K714" s="45"/>
      <c r="L714" s="45"/>
      <c r="M714" s="45"/>
      <c r="N714" s="45"/>
    </row>
    <row r="715" ht="22.5" customHeight="1">
      <c r="A715" s="45"/>
      <c r="B715" s="45"/>
      <c r="C715" s="45"/>
      <c r="D715" s="45"/>
      <c r="E715" s="45"/>
      <c r="F715" s="45"/>
      <c r="G715" s="45"/>
      <c r="H715" s="45"/>
      <c r="I715" s="45"/>
      <c r="J715" s="45"/>
      <c r="K715" s="45"/>
      <c r="L715" s="45"/>
      <c r="M715" s="45"/>
      <c r="N715" s="45"/>
    </row>
    <row r="716" ht="22.5" customHeight="1">
      <c r="A716" s="45"/>
      <c r="B716" s="45"/>
      <c r="C716" s="45"/>
      <c r="D716" s="45"/>
      <c r="E716" s="45"/>
      <c r="F716" s="45"/>
      <c r="G716" s="45"/>
      <c r="H716" s="45"/>
      <c r="I716" s="45"/>
      <c r="J716" s="45"/>
      <c r="K716" s="45"/>
      <c r="L716" s="45"/>
      <c r="M716" s="45"/>
      <c r="N716" s="45"/>
    </row>
    <row r="717" ht="22.5" customHeight="1">
      <c r="A717" s="45"/>
      <c r="B717" s="45"/>
      <c r="C717" s="45"/>
      <c r="D717" s="45"/>
      <c r="E717" s="45"/>
      <c r="F717" s="45"/>
      <c r="G717" s="45"/>
      <c r="H717" s="45"/>
      <c r="I717" s="45"/>
      <c r="J717" s="45"/>
      <c r="K717" s="45"/>
      <c r="L717" s="45"/>
      <c r="M717" s="45"/>
      <c r="N717" s="45"/>
    </row>
    <row r="718" ht="22.5" customHeight="1">
      <c r="A718" s="45"/>
      <c r="B718" s="45"/>
      <c r="C718" s="45"/>
      <c r="D718" s="45"/>
      <c r="E718" s="45"/>
      <c r="F718" s="45"/>
      <c r="G718" s="45"/>
      <c r="H718" s="45"/>
      <c r="I718" s="45"/>
      <c r="J718" s="45"/>
      <c r="K718" s="45"/>
      <c r="L718" s="45"/>
      <c r="M718" s="45"/>
      <c r="N718" s="45"/>
    </row>
    <row r="719" ht="22.5" customHeight="1">
      <c r="A719" s="45"/>
      <c r="B719" s="45"/>
      <c r="C719" s="45"/>
      <c r="D719" s="45"/>
      <c r="E719" s="45"/>
      <c r="F719" s="45"/>
      <c r="G719" s="45"/>
      <c r="H719" s="45"/>
      <c r="I719" s="45"/>
      <c r="J719" s="45"/>
      <c r="K719" s="45"/>
      <c r="L719" s="45"/>
      <c r="M719" s="45"/>
      <c r="N719" s="45"/>
    </row>
    <row r="720" ht="22.5" customHeight="1">
      <c r="A720" s="45"/>
      <c r="B720" s="45"/>
      <c r="C720" s="45"/>
      <c r="D720" s="45"/>
      <c r="E720" s="45"/>
      <c r="F720" s="45"/>
      <c r="G720" s="45"/>
      <c r="H720" s="45"/>
      <c r="I720" s="45"/>
      <c r="J720" s="45"/>
      <c r="K720" s="45"/>
      <c r="L720" s="45"/>
      <c r="M720" s="45"/>
      <c r="N720" s="45"/>
    </row>
    <row r="721" ht="22.5" customHeight="1">
      <c r="A721" s="45"/>
      <c r="B721" s="45"/>
      <c r="C721" s="45"/>
      <c r="D721" s="45"/>
      <c r="E721" s="45"/>
      <c r="F721" s="45"/>
      <c r="G721" s="45"/>
      <c r="H721" s="45"/>
      <c r="I721" s="45"/>
      <c r="J721" s="45"/>
      <c r="K721" s="45"/>
      <c r="L721" s="45"/>
      <c r="M721" s="45"/>
      <c r="N721" s="45"/>
    </row>
    <row r="722" ht="22.5" customHeight="1">
      <c r="A722" s="45"/>
      <c r="B722" s="45"/>
      <c r="C722" s="45"/>
      <c r="D722" s="45"/>
      <c r="E722" s="45"/>
      <c r="F722" s="45"/>
      <c r="G722" s="45"/>
      <c r="H722" s="45"/>
      <c r="I722" s="45"/>
      <c r="J722" s="45"/>
      <c r="K722" s="45"/>
      <c r="L722" s="45"/>
      <c r="M722" s="45"/>
      <c r="N722" s="45"/>
    </row>
    <row r="723" ht="22.5" customHeight="1">
      <c r="A723" s="45"/>
      <c r="B723" s="45"/>
      <c r="C723" s="45"/>
      <c r="D723" s="45"/>
      <c r="E723" s="45"/>
      <c r="F723" s="45"/>
      <c r="G723" s="45"/>
      <c r="H723" s="45"/>
      <c r="I723" s="45"/>
      <c r="J723" s="45"/>
      <c r="K723" s="45"/>
      <c r="L723" s="45"/>
      <c r="M723" s="45"/>
      <c r="N723" s="45"/>
    </row>
    <row r="724" ht="22.5" customHeight="1">
      <c r="A724" s="45"/>
      <c r="B724" s="45"/>
      <c r="C724" s="45"/>
      <c r="D724" s="45"/>
      <c r="E724" s="45"/>
      <c r="F724" s="45"/>
      <c r="G724" s="45"/>
      <c r="H724" s="45"/>
      <c r="I724" s="45"/>
      <c r="J724" s="45"/>
      <c r="K724" s="45"/>
      <c r="L724" s="45"/>
      <c r="M724" s="45"/>
      <c r="N724" s="45"/>
    </row>
    <row r="725" ht="22.5" customHeight="1">
      <c r="A725" s="45"/>
      <c r="B725" s="45"/>
      <c r="C725" s="45"/>
      <c r="D725" s="45"/>
      <c r="E725" s="45"/>
      <c r="F725" s="45"/>
      <c r="G725" s="45"/>
      <c r="H725" s="45"/>
      <c r="I725" s="45"/>
      <c r="J725" s="45"/>
      <c r="K725" s="45"/>
      <c r="L725" s="45"/>
      <c r="M725" s="45"/>
      <c r="N725" s="45"/>
    </row>
    <row r="726" ht="22.5" customHeight="1">
      <c r="A726" s="45"/>
      <c r="B726" s="45"/>
      <c r="C726" s="45"/>
      <c r="D726" s="45"/>
      <c r="E726" s="45"/>
      <c r="F726" s="45"/>
      <c r="G726" s="45"/>
      <c r="H726" s="45"/>
      <c r="I726" s="45"/>
      <c r="J726" s="45"/>
      <c r="K726" s="45"/>
      <c r="L726" s="45"/>
      <c r="M726" s="45"/>
      <c r="N726" s="45"/>
    </row>
    <row r="727" ht="22.5" customHeight="1">
      <c r="A727" s="45"/>
      <c r="B727" s="45"/>
      <c r="C727" s="45"/>
      <c r="D727" s="45"/>
      <c r="E727" s="45"/>
      <c r="F727" s="45"/>
      <c r="G727" s="45"/>
      <c r="H727" s="45"/>
      <c r="I727" s="45"/>
      <c r="J727" s="45"/>
      <c r="K727" s="45"/>
      <c r="L727" s="45"/>
      <c r="M727" s="45"/>
      <c r="N727" s="45"/>
    </row>
    <row r="728" ht="22.5" customHeight="1">
      <c r="A728" s="45"/>
      <c r="B728" s="45"/>
      <c r="C728" s="45"/>
      <c r="D728" s="45"/>
      <c r="E728" s="45"/>
      <c r="F728" s="45"/>
      <c r="G728" s="45"/>
      <c r="H728" s="45"/>
      <c r="I728" s="45"/>
      <c r="J728" s="45"/>
      <c r="K728" s="45"/>
      <c r="L728" s="45"/>
      <c r="M728" s="45"/>
      <c r="N728" s="45"/>
    </row>
    <row r="729" ht="22.5" customHeight="1">
      <c r="A729" s="45"/>
      <c r="B729" s="45"/>
      <c r="C729" s="45"/>
      <c r="D729" s="45"/>
      <c r="E729" s="45"/>
      <c r="F729" s="45"/>
      <c r="G729" s="45"/>
      <c r="H729" s="45"/>
      <c r="I729" s="45"/>
      <c r="J729" s="45"/>
      <c r="K729" s="45"/>
      <c r="L729" s="45"/>
      <c r="M729" s="45"/>
      <c r="N729" s="45"/>
    </row>
    <row r="730" ht="22.5" customHeight="1">
      <c r="A730" s="45"/>
      <c r="B730" s="45"/>
      <c r="C730" s="45"/>
      <c r="D730" s="45"/>
      <c r="E730" s="45"/>
      <c r="F730" s="45"/>
      <c r="G730" s="45"/>
      <c r="H730" s="45"/>
      <c r="I730" s="45"/>
      <c r="J730" s="45"/>
      <c r="K730" s="45"/>
      <c r="L730" s="45"/>
      <c r="M730" s="45"/>
      <c r="N730" s="45"/>
    </row>
    <row r="731" ht="22.5" customHeight="1">
      <c r="A731" s="45"/>
      <c r="B731" s="45"/>
      <c r="C731" s="45"/>
      <c r="D731" s="45"/>
      <c r="E731" s="45"/>
      <c r="F731" s="45"/>
      <c r="G731" s="45"/>
      <c r="H731" s="45"/>
      <c r="I731" s="45"/>
      <c r="J731" s="45"/>
      <c r="K731" s="45"/>
      <c r="L731" s="45"/>
      <c r="M731" s="45"/>
      <c r="N731" s="45"/>
    </row>
    <row r="732" ht="22.5" customHeight="1">
      <c r="A732" s="45"/>
      <c r="B732" s="45"/>
      <c r="C732" s="45"/>
      <c r="D732" s="45"/>
      <c r="E732" s="45"/>
      <c r="F732" s="45"/>
      <c r="G732" s="45"/>
      <c r="H732" s="45"/>
      <c r="I732" s="45"/>
      <c r="J732" s="45"/>
      <c r="K732" s="45"/>
      <c r="L732" s="45"/>
      <c r="M732" s="45"/>
      <c r="N732" s="45"/>
    </row>
    <row r="733" ht="22.5" customHeight="1">
      <c r="A733" s="45"/>
      <c r="B733" s="45"/>
      <c r="C733" s="45"/>
      <c r="D733" s="45"/>
      <c r="E733" s="45"/>
      <c r="F733" s="45"/>
      <c r="G733" s="45"/>
      <c r="H733" s="45"/>
      <c r="I733" s="45"/>
      <c r="J733" s="45"/>
      <c r="K733" s="45"/>
      <c r="L733" s="45"/>
      <c r="M733" s="45"/>
      <c r="N733" s="45"/>
    </row>
    <row r="734" ht="22.5" customHeight="1">
      <c r="A734" s="45"/>
      <c r="B734" s="45"/>
      <c r="C734" s="45"/>
      <c r="D734" s="45"/>
      <c r="E734" s="45"/>
      <c r="F734" s="45"/>
      <c r="G734" s="45"/>
      <c r="H734" s="45"/>
      <c r="I734" s="45"/>
      <c r="J734" s="45"/>
      <c r="K734" s="45"/>
      <c r="L734" s="45"/>
      <c r="M734" s="45"/>
      <c r="N734" s="45"/>
    </row>
    <row r="735" ht="22.5" customHeight="1">
      <c r="A735" s="45"/>
      <c r="B735" s="45"/>
      <c r="C735" s="45"/>
      <c r="D735" s="45"/>
      <c r="E735" s="45"/>
      <c r="F735" s="45"/>
      <c r="G735" s="45"/>
      <c r="H735" s="45"/>
      <c r="I735" s="45"/>
      <c r="J735" s="45"/>
      <c r="K735" s="45"/>
      <c r="L735" s="45"/>
      <c r="M735" s="45"/>
      <c r="N735" s="45"/>
    </row>
    <row r="736" ht="22.5" customHeight="1">
      <c r="A736" s="45"/>
      <c r="B736" s="45"/>
      <c r="C736" s="45"/>
      <c r="D736" s="45"/>
      <c r="E736" s="45"/>
      <c r="F736" s="45"/>
      <c r="G736" s="45"/>
      <c r="H736" s="45"/>
      <c r="I736" s="45"/>
      <c r="J736" s="45"/>
      <c r="K736" s="45"/>
      <c r="L736" s="45"/>
      <c r="M736" s="45"/>
      <c r="N736" s="45"/>
    </row>
    <row r="737" ht="22.5" customHeight="1">
      <c r="A737" s="45"/>
      <c r="B737" s="45"/>
      <c r="C737" s="45"/>
      <c r="D737" s="45"/>
      <c r="E737" s="45"/>
      <c r="F737" s="45"/>
      <c r="G737" s="45"/>
      <c r="H737" s="45"/>
      <c r="I737" s="45"/>
      <c r="J737" s="45"/>
      <c r="K737" s="45"/>
      <c r="L737" s="45"/>
      <c r="M737" s="45"/>
      <c r="N737" s="45"/>
    </row>
    <row r="738" ht="22.5" customHeight="1">
      <c r="A738" s="45"/>
      <c r="B738" s="45"/>
      <c r="C738" s="45"/>
      <c r="D738" s="45"/>
      <c r="E738" s="45"/>
      <c r="F738" s="45"/>
      <c r="G738" s="45"/>
      <c r="H738" s="45"/>
      <c r="I738" s="45"/>
      <c r="J738" s="45"/>
      <c r="K738" s="45"/>
      <c r="L738" s="45"/>
      <c r="M738" s="45"/>
      <c r="N738" s="45"/>
    </row>
    <row r="739" ht="22.5" customHeight="1">
      <c r="A739" s="45"/>
      <c r="B739" s="45"/>
      <c r="C739" s="45"/>
      <c r="D739" s="45"/>
      <c r="E739" s="45"/>
      <c r="F739" s="45"/>
      <c r="G739" s="45"/>
      <c r="H739" s="45"/>
      <c r="I739" s="45"/>
      <c r="J739" s="45"/>
      <c r="K739" s="45"/>
      <c r="L739" s="45"/>
      <c r="M739" s="45"/>
      <c r="N739" s="45"/>
    </row>
    <row r="740" ht="22.5" customHeight="1">
      <c r="A740" s="45"/>
      <c r="B740" s="45"/>
      <c r="C740" s="45"/>
      <c r="D740" s="45"/>
      <c r="E740" s="45"/>
      <c r="F740" s="45"/>
      <c r="G740" s="45"/>
      <c r="H740" s="45"/>
      <c r="I740" s="45"/>
      <c r="J740" s="45"/>
      <c r="K740" s="45"/>
      <c r="L740" s="45"/>
      <c r="M740" s="45"/>
      <c r="N740" s="45"/>
    </row>
    <row r="741" ht="22.5" customHeight="1">
      <c r="A741" s="45"/>
      <c r="B741" s="45"/>
      <c r="C741" s="45"/>
      <c r="D741" s="45"/>
      <c r="E741" s="45"/>
      <c r="F741" s="45"/>
      <c r="G741" s="45"/>
      <c r="H741" s="45"/>
      <c r="I741" s="45"/>
      <c r="J741" s="45"/>
      <c r="K741" s="45"/>
      <c r="L741" s="45"/>
      <c r="M741" s="45"/>
      <c r="N741" s="45"/>
    </row>
    <row r="742" ht="22.5" customHeight="1">
      <c r="A742" s="45"/>
      <c r="B742" s="45"/>
      <c r="C742" s="45"/>
      <c r="D742" s="45"/>
      <c r="E742" s="45"/>
      <c r="F742" s="45"/>
      <c r="G742" s="45"/>
      <c r="H742" s="45"/>
      <c r="I742" s="45"/>
      <c r="J742" s="45"/>
      <c r="K742" s="45"/>
      <c r="L742" s="45"/>
      <c r="M742" s="45"/>
      <c r="N742" s="45"/>
    </row>
    <row r="743" ht="22.5" customHeight="1">
      <c r="A743" s="45"/>
      <c r="B743" s="45"/>
      <c r="C743" s="45"/>
      <c r="D743" s="45"/>
      <c r="E743" s="45"/>
      <c r="F743" s="45"/>
      <c r="G743" s="45"/>
      <c r="H743" s="45"/>
      <c r="I743" s="45"/>
      <c r="J743" s="45"/>
      <c r="K743" s="45"/>
      <c r="L743" s="45"/>
      <c r="M743" s="45"/>
      <c r="N743" s="45"/>
    </row>
    <row r="744" ht="22.5" customHeight="1">
      <c r="A744" s="45"/>
      <c r="B744" s="45"/>
      <c r="C744" s="45"/>
      <c r="D744" s="45"/>
      <c r="E744" s="45"/>
      <c r="F744" s="45"/>
      <c r="G744" s="45"/>
      <c r="H744" s="45"/>
      <c r="I744" s="45"/>
      <c r="J744" s="45"/>
      <c r="K744" s="45"/>
      <c r="L744" s="45"/>
      <c r="M744" s="45"/>
      <c r="N744" s="45"/>
    </row>
    <row r="745" ht="22.5" customHeight="1">
      <c r="A745" s="45"/>
      <c r="B745" s="45"/>
      <c r="C745" s="45"/>
      <c r="D745" s="45"/>
      <c r="E745" s="45"/>
      <c r="F745" s="45"/>
      <c r="G745" s="45"/>
      <c r="H745" s="45"/>
      <c r="I745" s="45"/>
      <c r="J745" s="45"/>
      <c r="K745" s="45"/>
      <c r="L745" s="45"/>
      <c r="M745" s="45"/>
      <c r="N745" s="45"/>
    </row>
    <row r="746" ht="22.5" customHeight="1">
      <c r="A746" s="45"/>
      <c r="B746" s="45"/>
      <c r="C746" s="45"/>
      <c r="D746" s="45"/>
      <c r="E746" s="45"/>
      <c r="F746" s="45"/>
      <c r="G746" s="45"/>
      <c r="H746" s="45"/>
      <c r="I746" s="45"/>
      <c r="J746" s="45"/>
      <c r="K746" s="45"/>
      <c r="L746" s="45"/>
      <c r="M746" s="45"/>
      <c r="N746" s="45"/>
    </row>
    <row r="747" ht="22.5" customHeight="1">
      <c r="A747" s="45"/>
      <c r="B747" s="45"/>
      <c r="C747" s="45"/>
      <c r="D747" s="45"/>
      <c r="E747" s="45"/>
      <c r="F747" s="45"/>
      <c r="G747" s="45"/>
      <c r="H747" s="45"/>
      <c r="I747" s="45"/>
      <c r="J747" s="45"/>
      <c r="K747" s="45"/>
      <c r="L747" s="45"/>
      <c r="M747" s="45"/>
      <c r="N747" s="45"/>
    </row>
    <row r="748" ht="22.5" customHeight="1">
      <c r="A748" s="45"/>
      <c r="B748" s="45"/>
      <c r="C748" s="45"/>
      <c r="D748" s="45"/>
      <c r="E748" s="45"/>
      <c r="F748" s="45"/>
      <c r="G748" s="45"/>
      <c r="H748" s="45"/>
      <c r="I748" s="45"/>
      <c r="J748" s="45"/>
      <c r="K748" s="45"/>
      <c r="L748" s="45"/>
      <c r="M748" s="45"/>
      <c r="N748" s="45"/>
    </row>
    <row r="749" ht="22.5" customHeight="1">
      <c r="A749" s="45"/>
      <c r="B749" s="45"/>
      <c r="C749" s="45"/>
      <c r="D749" s="45"/>
      <c r="E749" s="45"/>
      <c r="F749" s="45"/>
      <c r="G749" s="45"/>
      <c r="H749" s="45"/>
      <c r="I749" s="45"/>
      <c r="J749" s="45"/>
      <c r="K749" s="45"/>
      <c r="L749" s="45"/>
      <c r="M749" s="45"/>
      <c r="N749" s="45"/>
    </row>
    <row r="750" ht="22.5" customHeight="1">
      <c r="A750" s="45"/>
      <c r="B750" s="45"/>
      <c r="C750" s="45"/>
      <c r="D750" s="45"/>
      <c r="E750" s="45"/>
      <c r="F750" s="45"/>
      <c r="G750" s="45"/>
      <c r="H750" s="45"/>
      <c r="I750" s="45"/>
      <c r="J750" s="45"/>
      <c r="K750" s="45"/>
      <c r="L750" s="45"/>
      <c r="M750" s="45"/>
      <c r="N750" s="45"/>
    </row>
    <row r="751" ht="22.5" customHeight="1">
      <c r="A751" s="45"/>
      <c r="B751" s="45"/>
      <c r="C751" s="45"/>
      <c r="D751" s="45"/>
      <c r="E751" s="45"/>
      <c r="F751" s="45"/>
      <c r="G751" s="45"/>
      <c r="H751" s="45"/>
      <c r="I751" s="45"/>
      <c r="J751" s="45"/>
      <c r="K751" s="45"/>
      <c r="L751" s="45"/>
      <c r="M751" s="45"/>
      <c r="N751" s="45"/>
    </row>
    <row r="752" ht="22.5" customHeight="1">
      <c r="A752" s="45"/>
      <c r="B752" s="45"/>
      <c r="C752" s="45"/>
      <c r="D752" s="45"/>
      <c r="E752" s="45"/>
      <c r="F752" s="45"/>
      <c r="G752" s="45"/>
      <c r="H752" s="45"/>
      <c r="I752" s="45"/>
      <c r="J752" s="45"/>
      <c r="K752" s="45"/>
      <c r="L752" s="45"/>
      <c r="M752" s="45"/>
      <c r="N752" s="45"/>
    </row>
    <row r="753" ht="22.5" customHeight="1">
      <c r="A753" s="45"/>
      <c r="B753" s="45"/>
      <c r="C753" s="45"/>
      <c r="D753" s="45"/>
      <c r="E753" s="45"/>
      <c r="F753" s="45"/>
      <c r="G753" s="45"/>
      <c r="H753" s="45"/>
      <c r="I753" s="45"/>
      <c r="J753" s="45"/>
      <c r="K753" s="45"/>
      <c r="L753" s="45"/>
      <c r="M753" s="45"/>
      <c r="N753" s="45"/>
    </row>
    <row r="754" ht="22.5" customHeight="1">
      <c r="A754" s="45"/>
      <c r="B754" s="45"/>
      <c r="C754" s="45"/>
      <c r="D754" s="45"/>
      <c r="E754" s="45"/>
      <c r="F754" s="45"/>
      <c r="G754" s="45"/>
      <c r="H754" s="45"/>
      <c r="I754" s="45"/>
      <c r="J754" s="45"/>
      <c r="K754" s="45"/>
      <c r="L754" s="45"/>
      <c r="M754" s="45"/>
      <c r="N754" s="45"/>
    </row>
    <row r="755" ht="22.5" customHeight="1">
      <c r="A755" s="45"/>
      <c r="B755" s="45"/>
      <c r="C755" s="45"/>
      <c r="D755" s="45"/>
      <c r="E755" s="45"/>
      <c r="F755" s="45"/>
      <c r="G755" s="45"/>
      <c r="H755" s="45"/>
      <c r="I755" s="45"/>
      <c r="J755" s="45"/>
      <c r="K755" s="45"/>
      <c r="L755" s="45"/>
      <c r="M755" s="45"/>
      <c r="N755" s="45"/>
    </row>
    <row r="756" ht="22.5" customHeight="1">
      <c r="A756" s="45"/>
      <c r="B756" s="45"/>
      <c r="C756" s="45"/>
      <c r="D756" s="45"/>
      <c r="E756" s="45"/>
      <c r="F756" s="45"/>
      <c r="G756" s="45"/>
      <c r="H756" s="45"/>
      <c r="I756" s="45"/>
      <c r="J756" s="45"/>
      <c r="K756" s="45"/>
      <c r="L756" s="45"/>
      <c r="M756" s="45"/>
      <c r="N756" s="45"/>
    </row>
    <row r="757" ht="22.5" customHeight="1">
      <c r="A757" s="45"/>
      <c r="B757" s="45"/>
      <c r="C757" s="45"/>
      <c r="D757" s="45"/>
      <c r="E757" s="45"/>
      <c r="F757" s="45"/>
      <c r="G757" s="45"/>
      <c r="H757" s="45"/>
      <c r="I757" s="45"/>
      <c r="J757" s="45"/>
      <c r="K757" s="45"/>
      <c r="L757" s="45"/>
      <c r="M757" s="45"/>
      <c r="N757" s="45"/>
    </row>
    <row r="758" ht="22.5" customHeight="1">
      <c r="A758" s="45"/>
      <c r="B758" s="45"/>
      <c r="C758" s="45"/>
      <c r="D758" s="45"/>
      <c r="E758" s="45"/>
      <c r="F758" s="45"/>
      <c r="G758" s="45"/>
      <c r="H758" s="45"/>
      <c r="I758" s="45"/>
      <c r="J758" s="45"/>
      <c r="K758" s="45"/>
      <c r="L758" s="45"/>
      <c r="M758" s="45"/>
      <c r="N758" s="45"/>
    </row>
    <row r="759" ht="22.5" customHeight="1">
      <c r="A759" s="45"/>
      <c r="B759" s="45"/>
      <c r="C759" s="45"/>
      <c r="D759" s="45"/>
      <c r="E759" s="45"/>
      <c r="F759" s="45"/>
      <c r="G759" s="45"/>
      <c r="H759" s="45"/>
      <c r="I759" s="45"/>
      <c r="J759" s="45"/>
      <c r="K759" s="45"/>
      <c r="L759" s="45"/>
      <c r="M759" s="45"/>
      <c r="N759" s="45"/>
    </row>
    <row r="760" ht="22.5" customHeight="1">
      <c r="A760" s="45"/>
      <c r="B760" s="45"/>
      <c r="C760" s="45"/>
      <c r="D760" s="45"/>
      <c r="E760" s="45"/>
      <c r="F760" s="45"/>
      <c r="G760" s="45"/>
      <c r="H760" s="45"/>
      <c r="I760" s="45"/>
      <c r="J760" s="45"/>
      <c r="K760" s="45"/>
      <c r="L760" s="45"/>
      <c r="M760" s="45"/>
      <c r="N760" s="45"/>
    </row>
    <row r="761" ht="22.5" customHeight="1">
      <c r="A761" s="45"/>
      <c r="B761" s="45"/>
      <c r="C761" s="45"/>
      <c r="D761" s="45"/>
      <c r="E761" s="45"/>
      <c r="F761" s="45"/>
      <c r="G761" s="45"/>
      <c r="H761" s="45"/>
      <c r="I761" s="45"/>
      <c r="J761" s="45"/>
      <c r="K761" s="45"/>
      <c r="L761" s="45"/>
      <c r="M761" s="45"/>
      <c r="N761" s="45"/>
    </row>
    <row r="762" ht="22.5" customHeight="1">
      <c r="A762" s="45"/>
      <c r="B762" s="45"/>
      <c r="C762" s="45"/>
      <c r="D762" s="45"/>
      <c r="E762" s="45"/>
      <c r="F762" s="45"/>
      <c r="G762" s="45"/>
      <c r="H762" s="45"/>
      <c r="I762" s="45"/>
      <c r="J762" s="45"/>
      <c r="K762" s="45"/>
      <c r="L762" s="45"/>
      <c r="M762" s="45"/>
      <c r="N762" s="45"/>
    </row>
    <row r="763" ht="22.5" customHeight="1">
      <c r="A763" s="45"/>
      <c r="B763" s="45"/>
      <c r="C763" s="45"/>
      <c r="D763" s="45"/>
      <c r="E763" s="45"/>
      <c r="F763" s="45"/>
      <c r="G763" s="45"/>
      <c r="H763" s="45"/>
      <c r="I763" s="45"/>
      <c r="J763" s="45"/>
      <c r="K763" s="45"/>
      <c r="L763" s="45"/>
      <c r="M763" s="45"/>
      <c r="N763" s="45"/>
    </row>
    <row r="764" ht="22.5" customHeight="1">
      <c r="A764" s="45"/>
      <c r="B764" s="45"/>
      <c r="C764" s="45"/>
      <c r="D764" s="45"/>
      <c r="E764" s="45"/>
      <c r="F764" s="45"/>
      <c r="G764" s="45"/>
      <c r="H764" s="45"/>
      <c r="I764" s="45"/>
      <c r="J764" s="45"/>
      <c r="K764" s="45"/>
      <c r="L764" s="45"/>
      <c r="M764" s="45"/>
      <c r="N764" s="45"/>
    </row>
    <row r="765" ht="22.5" customHeight="1">
      <c r="A765" s="45"/>
      <c r="B765" s="45"/>
      <c r="C765" s="45"/>
      <c r="D765" s="45"/>
      <c r="E765" s="45"/>
      <c r="F765" s="45"/>
      <c r="G765" s="45"/>
      <c r="H765" s="45"/>
      <c r="I765" s="45"/>
      <c r="J765" s="45"/>
      <c r="K765" s="45"/>
      <c r="L765" s="45"/>
      <c r="M765" s="45"/>
      <c r="N765" s="45"/>
    </row>
    <row r="766" ht="22.5" customHeight="1">
      <c r="A766" s="45"/>
      <c r="B766" s="45"/>
      <c r="C766" s="45"/>
      <c r="D766" s="45"/>
      <c r="E766" s="45"/>
      <c r="F766" s="45"/>
      <c r="G766" s="45"/>
      <c r="H766" s="45"/>
      <c r="I766" s="45"/>
      <c r="J766" s="45"/>
      <c r="K766" s="45"/>
      <c r="L766" s="45"/>
      <c r="M766" s="45"/>
      <c r="N766" s="45"/>
    </row>
    <row r="767" ht="22.5" customHeight="1">
      <c r="A767" s="45"/>
      <c r="B767" s="45"/>
      <c r="C767" s="45"/>
      <c r="D767" s="45"/>
      <c r="E767" s="45"/>
      <c r="F767" s="45"/>
      <c r="G767" s="45"/>
      <c r="H767" s="45"/>
      <c r="I767" s="45"/>
      <c r="J767" s="45"/>
      <c r="K767" s="45"/>
      <c r="L767" s="45"/>
      <c r="M767" s="45"/>
      <c r="N767" s="45"/>
    </row>
    <row r="768" ht="22.5" customHeight="1">
      <c r="A768" s="45"/>
      <c r="B768" s="45"/>
      <c r="C768" s="45"/>
      <c r="D768" s="45"/>
      <c r="E768" s="45"/>
      <c r="F768" s="45"/>
      <c r="G768" s="45"/>
      <c r="H768" s="45"/>
      <c r="I768" s="45"/>
      <c r="J768" s="45"/>
      <c r="K768" s="45"/>
      <c r="L768" s="45"/>
      <c r="M768" s="45"/>
      <c r="N768" s="45"/>
    </row>
    <row r="769" ht="22.5" customHeight="1">
      <c r="A769" s="45"/>
      <c r="B769" s="45"/>
      <c r="C769" s="45"/>
      <c r="D769" s="45"/>
      <c r="E769" s="45"/>
      <c r="F769" s="45"/>
      <c r="G769" s="45"/>
      <c r="H769" s="45"/>
      <c r="I769" s="45"/>
      <c r="J769" s="45"/>
      <c r="K769" s="45"/>
      <c r="L769" s="45"/>
      <c r="M769" s="45"/>
      <c r="N769" s="45"/>
    </row>
    <row r="770" ht="22.5" customHeight="1">
      <c r="A770" s="45"/>
      <c r="B770" s="45"/>
      <c r="C770" s="45"/>
      <c r="D770" s="45"/>
      <c r="E770" s="45"/>
      <c r="F770" s="45"/>
      <c r="G770" s="45"/>
      <c r="H770" s="45"/>
      <c r="I770" s="45"/>
      <c r="J770" s="45"/>
      <c r="K770" s="45"/>
      <c r="L770" s="45"/>
      <c r="M770" s="45"/>
      <c r="N770" s="45"/>
    </row>
    <row r="771" ht="22.5" customHeight="1">
      <c r="A771" s="45"/>
      <c r="B771" s="45"/>
      <c r="C771" s="45"/>
      <c r="D771" s="45"/>
      <c r="E771" s="45"/>
      <c r="F771" s="45"/>
      <c r="G771" s="45"/>
      <c r="H771" s="45"/>
      <c r="I771" s="45"/>
      <c r="J771" s="45"/>
      <c r="K771" s="45"/>
      <c r="L771" s="45"/>
      <c r="M771" s="45"/>
      <c r="N771" s="45"/>
    </row>
    <row r="772" ht="22.5" customHeight="1">
      <c r="A772" s="45"/>
      <c r="B772" s="45"/>
      <c r="C772" s="45"/>
      <c r="D772" s="45"/>
      <c r="E772" s="45"/>
      <c r="F772" s="45"/>
      <c r="G772" s="45"/>
      <c r="H772" s="45"/>
      <c r="I772" s="45"/>
      <c r="J772" s="45"/>
      <c r="K772" s="45"/>
      <c r="L772" s="45"/>
      <c r="M772" s="45"/>
      <c r="N772" s="45"/>
    </row>
    <row r="773" ht="22.5" customHeight="1">
      <c r="A773" s="45"/>
      <c r="B773" s="45"/>
      <c r="C773" s="45"/>
      <c r="D773" s="45"/>
      <c r="E773" s="45"/>
      <c r="F773" s="45"/>
      <c r="G773" s="45"/>
      <c r="H773" s="45"/>
      <c r="I773" s="45"/>
      <c r="J773" s="45"/>
      <c r="K773" s="45"/>
      <c r="L773" s="45"/>
      <c r="M773" s="45"/>
      <c r="N773" s="45"/>
    </row>
    <row r="774" ht="22.5" customHeight="1">
      <c r="A774" s="45"/>
      <c r="B774" s="45"/>
      <c r="C774" s="45"/>
      <c r="D774" s="45"/>
      <c r="E774" s="45"/>
      <c r="F774" s="45"/>
      <c r="G774" s="45"/>
      <c r="H774" s="45"/>
      <c r="I774" s="45"/>
      <c r="J774" s="45"/>
      <c r="K774" s="45"/>
      <c r="L774" s="45"/>
      <c r="M774" s="45"/>
      <c r="N774" s="45"/>
    </row>
    <row r="775" ht="22.5" customHeight="1">
      <c r="A775" s="45"/>
      <c r="B775" s="45"/>
      <c r="C775" s="45"/>
      <c r="D775" s="45"/>
      <c r="E775" s="45"/>
      <c r="F775" s="45"/>
      <c r="G775" s="45"/>
      <c r="H775" s="45"/>
      <c r="I775" s="45"/>
      <c r="J775" s="45"/>
      <c r="K775" s="45"/>
      <c r="L775" s="45"/>
      <c r="M775" s="45"/>
      <c r="N775" s="45"/>
    </row>
    <row r="776" ht="22.5" customHeight="1">
      <c r="A776" s="45"/>
      <c r="B776" s="45"/>
      <c r="C776" s="45"/>
      <c r="D776" s="45"/>
      <c r="E776" s="45"/>
      <c r="F776" s="45"/>
      <c r="G776" s="45"/>
      <c r="H776" s="45"/>
      <c r="I776" s="45"/>
      <c r="J776" s="45"/>
      <c r="K776" s="45"/>
      <c r="L776" s="45"/>
      <c r="M776" s="45"/>
      <c r="N776" s="45"/>
    </row>
    <row r="777" ht="22.5" customHeight="1">
      <c r="A777" s="45"/>
      <c r="B777" s="45"/>
      <c r="C777" s="45"/>
      <c r="D777" s="45"/>
      <c r="E777" s="45"/>
      <c r="F777" s="45"/>
      <c r="G777" s="45"/>
      <c r="H777" s="45"/>
      <c r="I777" s="45"/>
      <c r="J777" s="45"/>
      <c r="K777" s="45"/>
      <c r="L777" s="45"/>
      <c r="M777" s="45"/>
      <c r="N777" s="45"/>
    </row>
    <row r="778" ht="22.5" customHeight="1">
      <c r="A778" s="45"/>
      <c r="B778" s="45"/>
      <c r="C778" s="45"/>
      <c r="D778" s="45"/>
      <c r="E778" s="45"/>
      <c r="F778" s="45"/>
      <c r="G778" s="45"/>
      <c r="H778" s="45"/>
      <c r="I778" s="45"/>
      <c r="J778" s="45"/>
      <c r="K778" s="45"/>
      <c r="L778" s="45"/>
      <c r="M778" s="45"/>
      <c r="N778" s="45"/>
    </row>
    <row r="779" ht="22.5" customHeight="1">
      <c r="A779" s="45"/>
      <c r="B779" s="45"/>
      <c r="C779" s="45"/>
      <c r="D779" s="45"/>
      <c r="E779" s="45"/>
      <c r="F779" s="45"/>
      <c r="G779" s="45"/>
      <c r="H779" s="45"/>
      <c r="I779" s="45"/>
      <c r="J779" s="45"/>
      <c r="K779" s="45"/>
      <c r="L779" s="45"/>
      <c r="M779" s="45"/>
      <c r="N779" s="45"/>
    </row>
    <row r="780" ht="22.5" customHeight="1">
      <c r="A780" s="45"/>
      <c r="B780" s="45"/>
      <c r="C780" s="45"/>
      <c r="D780" s="45"/>
      <c r="E780" s="45"/>
      <c r="F780" s="45"/>
      <c r="G780" s="45"/>
      <c r="H780" s="45"/>
      <c r="I780" s="45"/>
      <c r="J780" s="45"/>
      <c r="K780" s="45"/>
      <c r="L780" s="45"/>
      <c r="M780" s="45"/>
      <c r="N780" s="45"/>
    </row>
    <row r="781" ht="22.5" customHeight="1">
      <c r="A781" s="45"/>
      <c r="B781" s="45"/>
      <c r="C781" s="45"/>
      <c r="D781" s="45"/>
      <c r="E781" s="45"/>
      <c r="F781" s="45"/>
      <c r="G781" s="45"/>
      <c r="H781" s="45"/>
      <c r="I781" s="45"/>
      <c r="J781" s="45"/>
      <c r="K781" s="45"/>
      <c r="L781" s="45"/>
      <c r="M781" s="45"/>
      <c r="N781" s="45"/>
    </row>
    <row r="782" ht="22.5" customHeight="1">
      <c r="A782" s="45"/>
      <c r="B782" s="45"/>
      <c r="C782" s="45"/>
      <c r="D782" s="45"/>
      <c r="E782" s="45"/>
      <c r="F782" s="45"/>
      <c r="G782" s="45"/>
      <c r="H782" s="45"/>
      <c r="I782" s="45"/>
      <c r="J782" s="45"/>
      <c r="K782" s="45"/>
      <c r="L782" s="45"/>
      <c r="M782" s="45"/>
      <c r="N782" s="45"/>
    </row>
    <row r="783" ht="22.5" customHeight="1">
      <c r="A783" s="45"/>
      <c r="B783" s="45"/>
      <c r="C783" s="45"/>
      <c r="D783" s="45"/>
      <c r="E783" s="45"/>
      <c r="F783" s="45"/>
      <c r="G783" s="45"/>
      <c r="H783" s="45"/>
      <c r="I783" s="45"/>
      <c r="J783" s="45"/>
      <c r="K783" s="45"/>
      <c r="L783" s="45"/>
      <c r="M783" s="45"/>
      <c r="N783" s="45"/>
    </row>
    <row r="784" ht="22.5" customHeight="1">
      <c r="A784" s="45"/>
      <c r="B784" s="45"/>
      <c r="C784" s="45"/>
      <c r="D784" s="45"/>
      <c r="E784" s="45"/>
      <c r="F784" s="45"/>
      <c r="G784" s="45"/>
      <c r="H784" s="45"/>
      <c r="I784" s="45"/>
      <c r="J784" s="45"/>
      <c r="K784" s="45"/>
      <c r="L784" s="45"/>
      <c r="M784" s="45"/>
      <c r="N784" s="45"/>
    </row>
    <row r="785" ht="22.5" customHeight="1">
      <c r="A785" s="45"/>
      <c r="B785" s="45"/>
      <c r="C785" s="45"/>
      <c r="D785" s="45"/>
      <c r="E785" s="45"/>
      <c r="F785" s="45"/>
      <c r="G785" s="45"/>
      <c r="H785" s="45"/>
      <c r="I785" s="45"/>
      <c r="J785" s="45"/>
      <c r="K785" s="45"/>
      <c r="L785" s="45"/>
      <c r="M785" s="45"/>
      <c r="N785" s="45"/>
    </row>
    <row r="786" ht="22.5" customHeight="1">
      <c r="A786" s="45"/>
      <c r="B786" s="45"/>
      <c r="C786" s="45"/>
      <c r="D786" s="45"/>
      <c r="E786" s="45"/>
      <c r="F786" s="45"/>
      <c r="G786" s="45"/>
      <c r="H786" s="45"/>
      <c r="I786" s="45"/>
      <c r="J786" s="45"/>
      <c r="K786" s="45"/>
      <c r="L786" s="45"/>
      <c r="M786" s="45"/>
      <c r="N786" s="45"/>
    </row>
    <row r="787" ht="22.5" customHeight="1">
      <c r="A787" s="45"/>
      <c r="B787" s="45"/>
      <c r="C787" s="45"/>
      <c r="D787" s="45"/>
      <c r="E787" s="45"/>
      <c r="F787" s="45"/>
      <c r="G787" s="45"/>
      <c r="H787" s="45"/>
      <c r="I787" s="45"/>
      <c r="J787" s="45"/>
      <c r="K787" s="45"/>
      <c r="L787" s="45"/>
      <c r="M787" s="45"/>
      <c r="N787" s="45"/>
    </row>
    <row r="788" ht="22.5" customHeight="1">
      <c r="A788" s="45"/>
      <c r="B788" s="45"/>
      <c r="C788" s="45"/>
      <c r="D788" s="45"/>
      <c r="E788" s="45"/>
      <c r="F788" s="45"/>
      <c r="G788" s="45"/>
      <c r="H788" s="45"/>
      <c r="I788" s="45"/>
      <c r="J788" s="45"/>
      <c r="K788" s="45"/>
      <c r="L788" s="45"/>
      <c r="M788" s="45"/>
      <c r="N788" s="45"/>
    </row>
    <row r="789" ht="22.5" customHeight="1">
      <c r="A789" s="45"/>
      <c r="B789" s="45"/>
      <c r="C789" s="45"/>
      <c r="D789" s="45"/>
      <c r="E789" s="45"/>
      <c r="F789" s="45"/>
      <c r="G789" s="45"/>
      <c r="H789" s="45"/>
      <c r="I789" s="45"/>
      <c r="J789" s="45"/>
      <c r="K789" s="45"/>
      <c r="L789" s="45"/>
      <c r="M789" s="45"/>
      <c r="N789" s="45"/>
    </row>
    <row r="790" ht="22.5" customHeight="1">
      <c r="A790" s="45"/>
      <c r="B790" s="45"/>
      <c r="C790" s="45"/>
      <c r="D790" s="45"/>
      <c r="E790" s="45"/>
      <c r="F790" s="45"/>
      <c r="G790" s="45"/>
      <c r="H790" s="45"/>
      <c r="I790" s="45"/>
      <c r="J790" s="45"/>
      <c r="K790" s="45"/>
      <c r="L790" s="45"/>
      <c r="M790" s="45"/>
      <c r="N790" s="45"/>
    </row>
    <row r="791" ht="22.5" customHeight="1">
      <c r="A791" s="45"/>
      <c r="B791" s="45"/>
      <c r="C791" s="45"/>
      <c r="D791" s="45"/>
      <c r="E791" s="45"/>
      <c r="F791" s="45"/>
      <c r="G791" s="45"/>
      <c r="H791" s="45"/>
      <c r="I791" s="45"/>
      <c r="J791" s="45"/>
      <c r="K791" s="45"/>
      <c r="L791" s="45"/>
      <c r="M791" s="45"/>
      <c r="N791" s="45"/>
    </row>
    <row r="792" ht="22.5" customHeight="1">
      <c r="A792" s="45"/>
      <c r="B792" s="45"/>
      <c r="C792" s="45"/>
      <c r="D792" s="45"/>
      <c r="E792" s="45"/>
      <c r="F792" s="45"/>
      <c r="G792" s="45"/>
      <c r="H792" s="45"/>
      <c r="I792" s="45"/>
      <c r="J792" s="45"/>
      <c r="K792" s="45"/>
      <c r="L792" s="45"/>
      <c r="M792" s="45"/>
      <c r="N792" s="45"/>
    </row>
    <row r="793" ht="22.5" customHeight="1">
      <c r="A793" s="45"/>
      <c r="B793" s="45"/>
      <c r="C793" s="45"/>
      <c r="D793" s="45"/>
      <c r="E793" s="45"/>
      <c r="F793" s="45"/>
      <c r="G793" s="45"/>
      <c r="H793" s="45"/>
      <c r="I793" s="45"/>
      <c r="J793" s="45"/>
      <c r="K793" s="45"/>
      <c r="L793" s="45"/>
      <c r="M793" s="45"/>
      <c r="N793" s="45"/>
    </row>
    <row r="794" ht="22.5" customHeight="1">
      <c r="A794" s="45"/>
      <c r="B794" s="45"/>
      <c r="C794" s="45"/>
      <c r="D794" s="45"/>
      <c r="E794" s="45"/>
      <c r="F794" s="45"/>
      <c r="G794" s="45"/>
      <c r="H794" s="45"/>
      <c r="I794" s="45"/>
      <c r="J794" s="45"/>
      <c r="K794" s="45"/>
      <c r="L794" s="45"/>
      <c r="M794" s="45"/>
      <c r="N794" s="45"/>
    </row>
    <row r="795" ht="22.5" customHeight="1">
      <c r="A795" s="45"/>
      <c r="B795" s="45"/>
      <c r="C795" s="45"/>
      <c r="D795" s="45"/>
      <c r="E795" s="45"/>
      <c r="F795" s="45"/>
      <c r="G795" s="45"/>
      <c r="H795" s="45"/>
      <c r="I795" s="45"/>
      <c r="J795" s="45"/>
      <c r="K795" s="45"/>
      <c r="L795" s="45"/>
      <c r="M795" s="45"/>
      <c r="N795" s="45"/>
    </row>
    <row r="796" ht="22.5" customHeight="1">
      <c r="A796" s="45"/>
      <c r="B796" s="45"/>
      <c r="C796" s="45"/>
      <c r="D796" s="45"/>
      <c r="E796" s="45"/>
      <c r="F796" s="45"/>
      <c r="G796" s="45"/>
      <c r="H796" s="45"/>
      <c r="I796" s="45"/>
      <c r="J796" s="45"/>
      <c r="K796" s="45"/>
      <c r="L796" s="45"/>
      <c r="M796" s="45"/>
      <c r="N796" s="45"/>
    </row>
    <row r="797" ht="22.5" customHeight="1">
      <c r="A797" s="45"/>
      <c r="B797" s="45"/>
      <c r="C797" s="45"/>
      <c r="D797" s="45"/>
      <c r="E797" s="45"/>
      <c r="F797" s="45"/>
      <c r="G797" s="45"/>
      <c r="H797" s="45"/>
      <c r="I797" s="45"/>
      <c r="J797" s="45"/>
      <c r="K797" s="45"/>
      <c r="L797" s="45"/>
      <c r="M797" s="45"/>
      <c r="N797" s="45"/>
    </row>
    <row r="798" ht="22.5" customHeight="1">
      <c r="A798" s="45"/>
      <c r="B798" s="45"/>
      <c r="C798" s="45"/>
      <c r="D798" s="45"/>
      <c r="E798" s="45"/>
      <c r="F798" s="45"/>
      <c r="G798" s="45"/>
      <c r="H798" s="45"/>
      <c r="I798" s="45"/>
      <c r="J798" s="45"/>
      <c r="K798" s="45"/>
      <c r="L798" s="45"/>
      <c r="M798" s="45"/>
      <c r="N798" s="45"/>
    </row>
    <row r="799" ht="22.5" customHeight="1">
      <c r="A799" s="45"/>
      <c r="B799" s="45"/>
      <c r="C799" s="45"/>
      <c r="D799" s="45"/>
      <c r="E799" s="45"/>
      <c r="F799" s="45"/>
      <c r="G799" s="45"/>
      <c r="H799" s="45"/>
      <c r="I799" s="45"/>
      <c r="J799" s="45"/>
      <c r="K799" s="45"/>
      <c r="L799" s="45"/>
      <c r="M799" s="45"/>
      <c r="N799" s="45"/>
    </row>
    <row r="800" ht="22.5" customHeight="1">
      <c r="A800" s="45"/>
      <c r="B800" s="45"/>
      <c r="C800" s="45"/>
      <c r="D800" s="45"/>
      <c r="E800" s="45"/>
      <c r="F800" s="45"/>
      <c r="G800" s="45"/>
      <c r="H800" s="45"/>
      <c r="I800" s="45"/>
      <c r="J800" s="45"/>
      <c r="K800" s="45"/>
      <c r="L800" s="45"/>
      <c r="M800" s="45"/>
      <c r="N800" s="45"/>
    </row>
    <row r="801" ht="22.5" customHeight="1">
      <c r="A801" s="45"/>
      <c r="B801" s="45"/>
      <c r="C801" s="45"/>
      <c r="D801" s="45"/>
      <c r="E801" s="45"/>
      <c r="F801" s="45"/>
      <c r="G801" s="45"/>
      <c r="H801" s="45"/>
      <c r="I801" s="45"/>
      <c r="J801" s="45"/>
      <c r="K801" s="45"/>
      <c r="L801" s="45"/>
      <c r="M801" s="45"/>
      <c r="N801" s="45"/>
    </row>
    <row r="802" ht="22.5" customHeight="1">
      <c r="A802" s="45"/>
      <c r="B802" s="45"/>
      <c r="C802" s="45"/>
      <c r="D802" s="45"/>
      <c r="E802" s="45"/>
      <c r="F802" s="45"/>
      <c r="G802" s="45"/>
      <c r="H802" s="45"/>
      <c r="I802" s="45"/>
      <c r="J802" s="45"/>
      <c r="K802" s="45"/>
      <c r="L802" s="45"/>
      <c r="M802" s="45"/>
      <c r="N802" s="45"/>
    </row>
    <row r="803" ht="22.5" customHeight="1">
      <c r="A803" s="45"/>
      <c r="B803" s="45"/>
      <c r="C803" s="45"/>
      <c r="D803" s="45"/>
      <c r="E803" s="45"/>
      <c r="F803" s="45"/>
      <c r="G803" s="45"/>
      <c r="H803" s="45"/>
      <c r="I803" s="45"/>
      <c r="J803" s="45"/>
      <c r="K803" s="45"/>
      <c r="L803" s="45"/>
      <c r="M803" s="45"/>
      <c r="N803" s="45"/>
    </row>
    <row r="804" ht="22.5" customHeight="1">
      <c r="A804" s="45"/>
      <c r="B804" s="45"/>
      <c r="C804" s="45"/>
      <c r="D804" s="45"/>
      <c r="E804" s="45"/>
      <c r="F804" s="45"/>
      <c r="G804" s="45"/>
      <c r="H804" s="45"/>
      <c r="I804" s="45"/>
      <c r="J804" s="45"/>
      <c r="K804" s="45"/>
      <c r="L804" s="45"/>
      <c r="M804" s="45"/>
      <c r="N804" s="45"/>
    </row>
    <row r="805" ht="22.5" customHeight="1">
      <c r="A805" s="45"/>
      <c r="B805" s="45"/>
      <c r="C805" s="45"/>
      <c r="D805" s="45"/>
      <c r="E805" s="45"/>
      <c r="F805" s="45"/>
      <c r="G805" s="45"/>
      <c r="H805" s="45"/>
      <c r="I805" s="45"/>
      <c r="J805" s="45"/>
      <c r="K805" s="45"/>
      <c r="L805" s="45"/>
      <c r="M805" s="45"/>
      <c r="N805" s="45"/>
    </row>
    <row r="806" ht="22.5" customHeight="1">
      <c r="A806" s="45"/>
      <c r="B806" s="45"/>
      <c r="C806" s="45"/>
      <c r="D806" s="45"/>
      <c r="E806" s="45"/>
      <c r="F806" s="45"/>
      <c r="G806" s="45"/>
      <c r="H806" s="45"/>
      <c r="I806" s="45"/>
      <c r="J806" s="45"/>
      <c r="K806" s="45"/>
      <c r="L806" s="45"/>
      <c r="M806" s="45"/>
      <c r="N806" s="45"/>
    </row>
    <row r="807" ht="22.5" customHeight="1">
      <c r="A807" s="45"/>
      <c r="B807" s="45"/>
      <c r="C807" s="45"/>
      <c r="D807" s="45"/>
      <c r="E807" s="45"/>
      <c r="F807" s="45"/>
      <c r="G807" s="45"/>
      <c r="H807" s="45"/>
      <c r="I807" s="45"/>
      <c r="J807" s="45"/>
      <c r="K807" s="45"/>
      <c r="L807" s="45"/>
      <c r="M807" s="45"/>
      <c r="N807" s="45"/>
    </row>
    <row r="808" ht="22.5" customHeight="1">
      <c r="A808" s="45"/>
      <c r="B808" s="45"/>
      <c r="C808" s="45"/>
      <c r="D808" s="45"/>
      <c r="E808" s="45"/>
      <c r="F808" s="45"/>
      <c r="G808" s="45"/>
      <c r="H808" s="45"/>
      <c r="I808" s="45"/>
      <c r="J808" s="45"/>
      <c r="K808" s="45"/>
      <c r="L808" s="45"/>
      <c r="M808" s="45"/>
      <c r="N808" s="45"/>
    </row>
    <row r="809" ht="22.5" customHeight="1">
      <c r="A809" s="45"/>
      <c r="B809" s="45"/>
      <c r="C809" s="45"/>
      <c r="D809" s="45"/>
      <c r="E809" s="45"/>
      <c r="F809" s="45"/>
      <c r="G809" s="45"/>
      <c r="H809" s="45"/>
      <c r="I809" s="45"/>
      <c r="J809" s="45"/>
      <c r="K809" s="45"/>
      <c r="L809" s="45"/>
      <c r="M809" s="45"/>
      <c r="N809" s="45"/>
    </row>
    <row r="810" ht="22.5" customHeight="1">
      <c r="A810" s="45"/>
      <c r="B810" s="45"/>
      <c r="C810" s="45"/>
      <c r="D810" s="45"/>
      <c r="E810" s="45"/>
      <c r="F810" s="45"/>
      <c r="G810" s="45"/>
      <c r="H810" s="45"/>
      <c r="I810" s="45"/>
      <c r="J810" s="45"/>
      <c r="K810" s="45"/>
      <c r="L810" s="45"/>
      <c r="M810" s="45"/>
      <c r="N810" s="45"/>
    </row>
    <row r="811" ht="22.5" customHeight="1">
      <c r="A811" s="45"/>
      <c r="B811" s="45"/>
      <c r="C811" s="45"/>
      <c r="D811" s="45"/>
      <c r="E811" s="45"/>
      <c r="F811" s="45"/>
      <c r="G811" s="45"/>
      <c r="H811" s="45"/>
      <c r="I811" s="45"/>
      <c r="J811" s="45"/>
      <c r="K811" s="45"/>
      <c r="L811" s="45"/>
      <c r="M811" s="45"/>
      <c r="N811" s="45"/>
    </row>
    <row r="812" ht="22.5" customHeight="1">
      <c r="A812" s="45"/>
      <c r="B812" s="45"/>
      <c r="C812" s="45"/>
      <c r="D812" s="45"/>
      <c r="E812" s="45"/>
      <c r="F812" s="45"/>
      <c r="G812" s="45"/>
      <c r="H812" s="45"/>
      <c r="I812" s="45"/>
      <c r="J812" s="45"/>
      <c r="K812" s="45"/>
      <c r="L812" s="45"/>
      <c r="M812" s="45"/>
      <c r="N812" s="45"/>
    </row>
    <row r="813" ht="22.5" customHeight="1">
      <c r="A813" s="45"/>
      <c r="B813" s="45"/>
      <c r="C813" s="45"/>
      <c r="D813" s="45"/>
      <c r="E813" s="45"/>
      <c r="F813" s="45"/>
      <c r="G813" s="45"/>
      <c r="H813" s="45"/>
      <c r="I813" s="45"/>
      <c r="J813" s="45"/>
      <c r="K813" s="45"/>
      <c r="L813" s="45"/>
      <c r="M813" s="45"/>
      <c r="N813" s="45"/>
    </row>
    <row r="814" ht="22.5" customHeight="1">
      <c r="A814" s="45"/>
      <c r="B814" s="45"/>
      <c r="C814" s="45"/>
      <c r="D814" s="45"/>
      <c r="E814" s="45"/>
      <c r="F814" s="45"/>
      <c r="G814" s="45"/>
      <c r="H814" s="45"/>
      <c r="I814" s="45"/>
      <c r="J814" s="45"/>
      <c r="K814" s="45"/>
      <c r="L814" s="45"/>
      <c r="M814" s="45"/>
      <c r="N814" s="45"/>
    </row>
    <row r="815" ht="22.5" customHeight="1">
      <c r="A815" s="45"/>
      <c r="B815" s="45"/>
      <c r="C815" s="45"/>
      <c r="D815" s="45"/>
      <c r="E815" s="45"/>
      <c r="F815" s="45"/>
      <c r="G815" s="45"/>
      <c r="H815" s="45"/>
      <c r="I815" s="45"/>
      <c r="J815" s="45"/>
      <c r="K815" s="45"/>
      <c r="L815" s="45"/>
      <c r="M815" s="45"/>
      <c r="N815" s="45"/>
    </row>
    <row r="816" ht="22.5" customHeight="1">
      <c r="A816" s="45"/>
      <c r="B816" s="45"/>
      <c r="C816" s="45"/>
      <c r="D816" s="45"/>
      <c r="E816" s="45"/>
      <c r="F816" s="45"/>
      <c r="G816" s="45"/>
      <c r="H816" s="45"/>
      <c r="I816" s="45"/>
      <c r="J816" s="45"/>
      <c r="K816" s="45"/>
      <c r="L816" s="45"/>
      <c r="M816" s="45"/>
      <c r="N816" s="45"/>
    </row>
    <row r="817" ht="22.5" customHeight="1">
      <c r="A817" s="45"/>
      <c r="B817" s="45"/>
      <c r="C817" s="45"/>
      <c r="D817" s="45"/>
      <c r="E817" s="45"/>
      <c r="F817" s="45"/>
      <c r="G817" s="45"/>
      <c r="H817" s="45"/>
      <c r="I817" s="45"/>
      <c r="J817" s="45"/>
      <c r="K817" s="45"/>
      <c r="L817" s="45"/>
      <c r="M817" s="45"/>
      <c r="N817" s="45"/>
    </row>
    <row r="818" ht="22.5" customHeight="1">
      <c r="A818" s="45"/>
      <c r="B818" s="45"/>
      <c r="C818" s="45"/>
      <c r="D818" s="45"/>
      <c r="E818" s="45"/>
      <c r="F818" s="45"/>
      <c r="G818" s="45"/>
      <c r="H818" s="45"/>
      <c r="I818" s="45"/>
      <c r="J818" s="45"/>
      <c r="K818" s="45"/>
      <c r="L818" s="45"/>
      <c r="M818" s="45"/>
      <c r="N818" s="45"/>
    </row>
    <row r="819" ht="22.5" customHeight="1">
      <c r="A819" s="45"/>
      <c r="B819" s="45"/>
      <c r="C819" s="45"/>
      <c r="D819" s="45"/>
      <c r="E819" s="45"/>
      <c r="F819" s="45"/>
      <c r="G819" s="45"/>
      <c r="H819" s="45"/>
      <c r="I819" s="45"/>
      <c r="J819" s="45"/>
      <c r="K819" s="45"/>
      <c r="L819" s="45"/>
      <c r="M819" s="45"/>
      <c r="N819" s="45"/>
    </row>
    <row r="820" ht="22.5" customHeight="1">
      <c r="A820" s="45"/>
      <c r="B820" s="45"/>
      <c r="C820" s="45"/>
      <c r="D820" s="45"/>
      <c r="E820" s="45"/>
      <c r="F820" s="45"/>
      <c r="G820" s="45"/>
      <c r="H820" s="45"/>
      <c r="I820" s="45"/>
      <c r="J820" s="45"/>
      <c r="K820" s="45"/>
      <c r="L820" s="45"/>
      <c r="M820" s="45"/>
      <c r="N820" s="45"/>
    </row>
    <row r="821" ht="22.5" customHeight="1">
      <c r="A821" s="45"/>
      <c r="B821" s="45"/>
      <c r="C821" s="45"/>
      <c r="D821" s="45"/>
      <c r="E821" s="45"/>
      <c r="F821" s="45"/>
      <c r="G821" s="45"/>
      <c r="H821" s="45"/>
      <c r="I821" s="45"/>
      <c r="J821" s="45"/>
      <c r="K821" s="45"/>
      <c r="L821" s="45"/>
      <c r="M821" s="45"/>
      <c r="N821" s="45"/>
    </row>
    <row r="822" ht="22.5" customHeight="1">
      <c r="A822" s="45"/>
      <c r="B822" s="45"/>
      <c r="C822" s="45"/>
      <c r="D822" s="45"/>
      <c r="E822" s="45"/>
      <c r="F822" s="45"/>
      <c r="G822" s="45"/>
      <c r="H822" s="45"/>
      <c r="I822" s="45"/>
      <c r="J822" s="45"/>
      <c r="K822" s="45"/>
      <c r="L822" s="45"/>
      <c r="M822" s="45"/>
      <c r="N822" s="45"/>
    </row>
    <row r="823" ht="22.5" customHeight="1">
      <c r="A823" s="45"/>
      <c r="B823" s="45"/>
      <c r="C823" s="45"/>
      <c r="D823" s="45"/>
      <c r="E823" s="45"/>
      <c r="F823" s="45"/>
      <c r="G823" s="45"/>
      <c r="H823" s="45"/>
      <c r="I823" s="45"/>
      <c r="J823" s="45"/>
      <c r="K823" s="45"/>
      <c r="L823" s="45"/>
      <c r="M823" s="45"/>
      <c r="N823" s="45"/>
    </row>
    <row r="824" ht="22.5" customHeight="1">
      <c r="A824" s="45"/>
      <c r="B824" s="45"/>
      <c r="C824" s="45"/>
      <c r="D824" s="45"/>
      <c r="E824" s="45"/>
      <c r="F824" s="45"/>
      <c r="G824" s="45"/>
      <c r="H824" s="45"/>
      <c r="I824" s="45"/>
      <c r="J824" s="45"/>
      <c r="K824" s="45"/>
      <c r="L824" s="45"/>
      <c r="M824" s="45"/>
      <c r="N824" s="45"/>
    </row>
    <row r="825" ht="22.5" customHeight="1">
      <c r="A825" s="45"/>
      <c r="B825" s="45"/>
      <c r="C825" s="45"/>
      <c r="D825" s="45"/>
      <c r="E825" s="45"/>
      <c r="F825" s="45"/>
      <c r="G825" s="45"/>
      <c r="H825" s="45"/>
      <c r="I825" s="45"/>
      <c r="J825" s="45"/>
      <c r="K825" s="45"/>
      <c r="L825" s="45"/>
      <c r="M825" s="45"/>
      <c r="N825" s="45"/>
    </row>
    <row r="826" ht="22.5" customHeight="1">
      <c r="A826" s="45"/>
      <c r="B826" s="45"/>
      <c r="C826" s="45"/>
      <c r="D826" s="45"/>
      <c r="E826" s="45"/>
      <c r="F826" s="45"/>
      <c r="G826" s="45"/>
      <c r="H826" s="45"/>
      <c r="I826" s="45"/>
      <c r="J826" s="45"/>
      <c r="K826" s="45"/>
      <c r="L826" s="45"/>
      <c r="M826" s="45"/>
      <c r="N826" s="45"/>
    </row>
    <row r="827" ht="22.5" customHeight="1">
      <c r="A827" s="45"/>
      <c r="B827" s="45"/>
      <c r="C827" s="45"/>
      <c r="D827" s="45"/>
      <c r="E827" s="45"/>
      <c r="F827" s="45"/>
      <c r="G827" s="45"/>
      <c r="H827" s="45"/>
      <c r="I827" s="45"/>
      <c r="J827" s="45"/>
      <c r="K827" s="45"/>
      <c r="L827" s="45"/>
      <c r="M827" s="45"/>
      <c r="N827" s="45"/>
    </row>
    <row r="828" ht="22.5" customHeight="1">
      <c r="A828" s="45"/>
      <c r="B828" s="45"/>
      <c r="C828" s="45"/>
      <c r="D828" s="45"/>
      <c r="E828" s="45"/>
      <c r="F828" s="45"/>
      <c r="G828" s="45"/>
      <c r="H828" s="45"/>
      <c r="I828" s="45"/>
      <c r="J828" s="45"/>
      <c r="K828" s="45"/>
      <c r="L828" s="45"/>
      <c r="M828" s="45"/>
      <c r="N828" s="45"/>
    </row>
    <row r="829" ht="22.5" customHeight="1">
      <c r="A829" s="45"/>
      <c r="B829" s="45"/>
      <c r="C829" s="45"/>
      <c r="D829" s="45"/>
      <c r="E829" s="45"/>
      <c r="F829" s="45"/>
      <c r="G829" s="45"/>
      <c r="H829" s="45"/>
      <c r="I829" s="45"/>
      <c r="J829" s="45"/>
      <c r="K829" s="45"/>
      <c r="L829" s="45"/>
      <c r="M829" s="45"/>
      <c r="N829" s="45"/>
    </row>
    <row r="830" ht="22.5" customHeight="1">
      <c r="A830" s="45"/>
      <c r="B830" s="45"/>
      <c r="C830" s="45"/>
      <c r="D830" s="45"/>
      <c r="E830" s="45"/>
      <c r="F830" s="45"/>
      <c r="G830" s="45"/>
      <c r="H830" s="45"/>
      <c r="I830" s="45"/>
      <c r="J830" s="45"/>
      <c r="K830" s="45"/>
      <c r="L830" s="45"/>
      <c r="M830" s="45"/>
      <c r="N830" s="45"/>
    </row>
    <row r="831" ht="22.5" customHeight="1">
      <c r="A831" s="45"/>
      <c r="B831" s="45"/>
      <c r="C831" s="45"/>
      <c r="D831" s="45"/>
      <c r="E831" s="45"/>
      <c r="F831" s="45"/>
      <c r="G831" s="45"/>
      <c r="H831" s="45"/>
      <c r="I831" s="45"/>
      <c r="J831" s="45"/>
      <c r="K831" s="45"/>
      <c r="L831" s="45"/>
      <c r="M831" s="45"/>
      <c r="N831" s="45"/>
    </row>
    <row r="832" ht="22.5" customHeight="1">
      <c r="A832" s="45"/>
      <c r="B832" s="45"/>
      <c r="C832" s="45"/>
      <c r="D832" s="45"/>
      <c r="E832" s="45"/>
      <c r="F832" s="45"/>
      <c r="G832" s="45"/>
      <c r="H832" s="45"/>
      <c r="I832" s="45"/>
      <c r="J832" s="45"/>
      <c r="K832" s="45"/>
      <c r="L832" s="45"/>
      <c r="M832" s="45"/>
      <c r="N832" s="45"/>
    </row>
    <row r="833" ht="22.5" customHeight="1">
      <c r="A833" s="45"/>
      <c r="B833" s="45"/>
      <c r="C833" s="45"/>
      <c r="D833" s="45"/>
      <c r="E833" s="45"/>
      <c r="F833" s="45"/>
      <c r="G833" s="45"/>
      <c r="H833" s="45"/>
      <c r="I833" s="45"/>
      <c r="J833" s="45"/>
      <c r="K833" s="45"/>
      <c r="L833" s="45"/>
      <c r="M833" s="45"/>
      <c r="N833" s="45"/>
    </row>
    <row r="834" ht="22.5" customHeight="1">
      <c r="A834" s="45"/>
      <c r="B834" s="45"/>
      <c r="C834" s="45"/>
      <c r="D834" s="45"/>
      <c r="E834" s="45"/>
      <c r="F834" s="45"/>
      <c r="G834" s="45"/>
      <c r="H834" s="45"/>
      <c r="I834" s="45"/>
      <c r="J834" s="45"/>
      <c r="K834" s="45"/>
      <c r="L834" s="45"/>
      <c r="M834" s="45"/>
      <c r="N834" s="45"/>
    </row>
    <row r="835" ht="22.5" customHeight="1">
      <c r="A835" s="45"/>
      <c r="B835" s="45"/>
      <c r="C835" s="45"/>
      <c r="D835" s="45"/>
      <c r="E835" s="45"/>
      <c r="F835" s="45"/>
      <c r="G835" s="45"/>
      <c r="H835" s="45"/>
      <c r="I835" s="45"/>
      <c r="J835" s="45"/>
      <c r="K835" s="45"/>
      <c r="L835" s="45"/>
      <c r="M835" s="45"/>
      <c r="N835" s="45"/>
    </row>
    <row r="836" ht="22.5" customHeight="1">
      <c r="A836" s="45"/>
      <c r="B836" s="45"/>
      <c r="C836" s="45"/>
      <c r="D836" s="45"/>
      <c r="E836" s="45"/>
      <c r="F836" s="45"/>
      <c r="G836" s="45"/>
      <c r="H836" s="45"/>
      <c r="I836" s="45"/>
      <c r="J836" s="45"/>
      <c r="K836" s="45"/>
      <c r="L836" s="45"/>
      <c r="M836" s="45"/>
      <c r="N836" s="45"/>
    </row>
    <row r="837" ht="22.5" customHeight="1">
      <c r="A837" s="45"/>
      <c r="B837" s="45"/>
      <c r="C837" s="45"/>
      <c r="D837" s="45"/>
      <c r="E837" s="45"/>
      <c r="F837" s="45"/>
      <c r="G837" s="45"/>
      <c r="H837" s="45"/>
      <c r="I837" s="45"/>
      <c r="J837" s="45"/>
      <c r="K837" s="45"/>
      <c r="L837" s="45"/>
      <c r="M837" s="45"/>
      <c r="N837" s="45"/>
    </row>
    <row r="838" ht="22.5" customHeight="1">
      <c r="A838" s="45"/>
      <c r="B838" s="45"/>
      <c r="C838" s="45"/>
      <c r="D838" s="45"/>
      <c r="E838" s="45"/>
      <c r="F838" s="45"/>
      <c r="G838" s="45"/>
      <c r="H838" s="45"/>
      <c r="I838" s="45"/>
      <c r="J838" s="45"/>
      <c r="K838" s="45"/>
      <c r="L838" s="45"/>
      <c r="M838" s="45"/>
      <c r="N838" s="45"/>
    </row>
    <row r="839" ht="22.5" customHeight="1">
      <c r="A839" s="45"/>
      <c r="B839" s="45"/>
      <c r="C839" s="45"/>
      <c r="D839" s="45"/>
      <c r="E839" s="45"/>
      <c r="F839" s="45"/>
      <c r="G839" s="45"/>
      <c r="H839" s="45"/>
      <c r="I839" s="45"/>
      <c r="J839" s="45"/>
      <c r="K839" s="45"/>
      <c r="L839" s="45"/>
      <c r="M839" s="45"/>
      <c r="N839" s="45"/>
    </row>
    <row r="840" ht="22.5" customHeight="1">
      <c r="A840" s="45"/>
      <c r="B840" s="45"/>
      <c r="C840" s="45"/>
      <c r="D840" s="45"/>
      <c r="E840" s="45"/>
      <c r="F840" s="45"/>
      <c r="G840" s="45"/>
      <c r="H840" s="45"/>
      <c r="I840" s="45"/>
      <c r="J840" s="45"/>
      <c r="K840" s="45"/>
      <c r="L840" s="45"/>
      <c r="M840" s="45"/>
      <c r="N840" s="45"/>
    </row>
    <row r="841" ht="22.5" customHeight="1">
      <c r="A841" s="45"/>
      <c r="B841" s="45"/>
      <c r="C841" s="45"/>
      <c r="D841" s="45"/>
      <c r="E841" s="45"/>
      <c r="F841" s="45"/>
      <c r="G841" s="45"/>
      <c r="H841" s="45"/>
      <c r="I841" s="45"/>
      <c r="J841" s="45"/>
      <c r="K841" s="45"/>
      <c r="L841" s="45"/>
      <c r="M841" s="45"/>
      <c r="N841" s="45"/>
    </row>
    <row r="842" ht="22.5" customHeight="1">
      <c r="A842" s="45"/>
      <c r="B842" s="45"/>
      <c r="C842" s="45"/>
      <c r="D842" s="45"/>
      <c r="E842" s="45"/>
      <c r="F842" s="45"/>
      <c r="G842" s="45"/>
      <c r="H842" s="45"/>
      <c r="I842" s="45"/>
      <c r="J842" s="45"/>
      <c r="K842" s="45"/>
      <c r="L842" s="45"/>
      <c r="M842" s="45"/>
      <c r="N842" s="45"/>
    </row>
    <row r="843" ht="22.5" customHeight="1">
      <c r="A843" s="45"/>
      <c r="B843" s="45"/>
      <c r="C843" s="45"/>
      <c r="D843" s="45"/>
      <c r="E843" s="45"/>
      <c r="F843" s="45"/>
      <c r="G843" s="45"/>
      <c r="H843" s="45"/>
      <c r="I843" s="45"/>
      <c r="J843" s="45"/>
      <c r="K843" s="45"/>
      <c r="L843" s="45"/>
      <c r="M843" s="45"/>
      <c r="N843" s="45"/>
    </row>
    <row r="844" ht="22.5" customHeight="1">
      <c r="A844" s="45"/>
      <c r="B844" s="45"/>
      <c r="C844" s="45"/>
      <c r="D844" s="45"/>
      <c r="E844" s="45"/>
      <c r="F844" s="45"/>
      <c r="G844" s="45"/>
      <c r="H844" s="45"/>
      <c r="I844" s="45"/>
      <c r="J844" s="45"/>
      <c r="K844" s="45"/>
      <c r="L844" s="45"/>
      <c r="M844" s="45"/>
      <c r="N844" s="45"/>
    </row>
    <row r="845" ht="22.5" customHeight="1">
      <c r="A845" s="45"/>
      <c r="B845" s="45"/>
      <c r="C845" s="45"/>
      <c r="D845" s="45"/>
      <c r="E845" s="45"/>
      <c r="F845" s="45"/>
      <c r="G845" s="45"/>
      <c r="H845" s="45"/>
      <c r="I845" s="45"/>
      <c r="J845" s="45"/>
      <c r="K845" s="45"/>
      <c r="L845" s="45"/>
      <c r="M845" s="45"/>
      <c r="N845" s="45"/>
    </row>
    <row r="846" ht="22.5" customHeight="1">
      <c r="A846" s="45"/>
      <c r="B846" s="45"/>
      <c r="C846" s="45"/>
      <c r="D846" s="45"/>
      <c r="E846" s="45"/>
      <c r="F846" s="45"/>
      <c r="G846" s="45"/>
      <c r="H846" s="45"/>
      <c r="I846" s="45"/>
      <c r="J846" s="45"/>
      <c r="K846" s="45"/>
      <c r="L846" s="45"/>
      <c r="M846" s="45"/>
      <c r="N846" s="45"/>
    </row>
    <row r="847" ht="22.5" customHeight="1">
      <c r="A847" s="45"/>
      <c r="B847" s="45"/>
      <c r="C847" s="45"/>
      <c r="D847" s="45"/>
      <c r="E847" s="45"/>
      <c r="F847" s="45"/>
      <c r="G847" s="45"/>
      <c r="H847" s="45"/>
      <c r="I847" s="45"/>
      <c r="J847" s="45"/>
      <c r="K847" s="45"/>
      <c r="L847" s="45"/>
      <c r="M847" s="45"/>
      <c r="N847" s="45"/>
    </row>
    <row r="848" ht="22.5" customHeight="1">
      <c r="A848" s="45"/>
      <c r="B848" s="45"/>
      <c r="C848" s="45"/>
      <c r="D848" s="45"/>
      <c r="E848" s="45"/>
      <c r="F848" s="45"/>
      <c r="G848" s="45"/>
      <c r="H848" s="45"/>
      <c r="I848" s="45"/>
      <c r="J848" s="45"/>
      <c r="K848" s="45"/>
      <c r="L848" s="45"/>
      <c r="M848" s="45"/>
      <c r="N848" s="45"/>
    </row>
    <row r="849" ht="22.5" customHeight="1">
      <c r="A849" s="45"/>
      <c r="B849" s="45"/>
      <c r="C849" s="45"/>
      <c r="D849" s="45"/>
      <c r="E849" s="45"/>
      <c r="F849" s="45"/>
      <c r="G849" s="45"/>
      <c r="H849" s="45"/>
      <c r="I849" s="45"/>
      <c r="J849" s="45"/>
      <c r="K849" s="45"/>
      <c r="L849" s="45"/>
      <c r="M849" s="45"/>
      <c r="N849" s="45"/>
    </row>
    <row r="850" ht="22.5" customHeight="1">
      <c r="A850" s="45"/>
      <c r="B850" s="45"/>
      <c r="C850" s="45"/>
      <c r="D850" s="45"/>
      <c r="E850" s="45"/>
      <c r="F850" s="45"/>
      <c r="G850" s="45"/>
      <c r="H850" s="45"/>
      <c r="I850" s="45"/>
      <c r="J850" s="45"/>
      <c r="K850" s="45"/>
      <c r="L850" s="45"/>
      <c r="M850" s="45"/>
      <c r="N850" s="45"/>
    </row>
    <row r="851" ht="22.5" customHeight="1">
      <c r="A851" s="45"/>
      <c r="B851" s="45"/>
      <c r="C851" s="45"/>
      <c r="D851" s="45"/>
      <c r="E851" s="45"/>
      <c r="F851" s="45"/>
      <c r="G851" s="45"/>
      <c r="H851" s="45"/>
      <c r="I851" s="45"/>
      <c r="J851" s="45"/>
      <c r="K851" s="45"/>
      <c r="L851" s="45"/>
      <c r="M851" s="45"/>
      <c r="N851" s="45"/>
    </row>
    <row r="852" ht="22.5" customHeight="1">
      <c r="A852" s="45"/>
      <c r="B852" s="45"/>
      <c r="C852" s="45"/>
      <c r="D852" s="45"/>
      <c r="E852" s="45"/>
      <c r="F852" s="45"/>
      <c r="G852" s="45"/>
      <c r="H852" s="45"/>
      <c r="I852" s="45"/>
      <c r="J852" s="45"/>
      <c r="K852" s="45"/>
      <c r="L852" s="45"/>
      <c r="M852" s="45"/>
      <c r="N852" s="45"/>
    </row>
    <row r="853" ht="22.5" customHeight="1">
      <c r="A853" s="45"/>
      <c r="B853" s="45"/>
      <c r="C853" s="45"/>
      <c r="D853" s="45"/>
      <c r="E853" s="45"/>
      <c r="F853" s="45"/>
      <c r="G853" s="45"/>
      <c r="H853" s="45"/>
      <c r="I853" s="45"/>
      <c r="J853" s="45"/>
      <c r="K853" s="45"/>
      <c r="L853" s="45"/>
      <c r="M853" s="45"/>
      <c r="N853" s="45"/>
    </row>
    <row r="854" ht="22.5" customHeight="1">
      <c r="A854" s="45"/>
      <c r="B854" s="45"/>
      <c r="C854" s="45"/>
      <c r="D854" s="45"/>
      <c r="E854" s="45"/>
      <c r="F854" s="45"/>
      <c r="G854" s="45"/>
      <c r="H854" s="45"/>
      <c r="I854" s="45"/>
      <c r="J854" s="45"/>
      <c r="K854" s="45"/>
      <c r="L854" s="45"/>
      <c r="M854" s="45"/>
      <c r="N854" s="45"/>
    </row>
    <row r="855" ht="22.5" customHeight="1">
      <c r="A855" s="45"/>
      <c r="B855" s="45"/>
      <c r="C855" s="45"/>
      <c r="D855" s="45"/>
      <c r="E855" s="45"/>
      <c r="F855" s="45"/>
      <c r="G855" s="45"/>
      <c r="H855" s="45"/>
      <c r="I855" s="45"/>
      <c r="J855" s="45"/>
      <c r="K855" s="45"/>
      <c r="L855" s="45"/>
      <c r="M855" s="45"/>
      <c r="N855" s="45"/>
    </row>
    <row r="856" ht="22.5" customHeight="1">
      <c r="A856" s="45"/>
      <c r="B856" s="45"/>
      <c r="C856" s="45"/>
      <c r="D856" s="45"/>
      <c r="E856" s="45"/>
      <c r="F856" s="45"/>
      <c r="G856" s="45"/>
      <c r="H856" s="45"/>
      <c r="I856" s="45"/>
      <c r="J856" s="45"/>
      <c r="K856" s="45"/>
      <c r="L856" s="45"/>
      <c r="M856" s="45"/>
      <c r="N856" s="45"/>
    </row>
    <row r="857" ht="22.5" customHeight="1">
      <c r="A857" s="45"/>
      <c r="B857" s="45"/>
      <c r="C857" s="45"/>
      <c r="D857" s="45"/>
      <c r="E857" s="45"/>
      <c r="F857" s="45"/>
      <c r="G857" s="45"/>
      <c r="H857" s="45"/>
      <c r="I857" s="45"/>
      <c r="J857" s="45"/>
      <c r="K857" s="45"/>
      <c r="L857" s="45"/>
      <c r="M857" s="45"/>
      <c r="N857" s="45"/>
    </row>
    <row r="858" ht="22.5" customHeight="1">
      <c r="A858" s="45"/>
      <c r="B858" s="45"/>
      <c r="C858" s="45"/>
      <c r="D858" s="45"/>
      <c r="E858" s="45"/>
      <c r="F858" s="45"/>
      <c r="G858" s="45"/>
      <c r="H858" s="45"/>
      <c r="I858" s="45"/>
      <c r="J858" s="45"/>
      <c r="K858" s="45"/>
      <c r="L858" s="45"/>
      <c r="M858" s="45"/>
      <c r="N858" s="45"/>
    </row>
    <row r="859" ht="22.5" customHeight="1">
      <c r="A859" s="45"/>
      <c r="B859" s="45"/>
      <c r="C859" s="45"/>
      <c r="D859" s="45"/>
      <c r="E859" s="45"/>
      <c r="F859" s="45"/>
      <c r="G859" s="45"/>
      <c r="H859" s="45"/>
      <c r="I859" s="45"/>
      <c r="J859" s="45"/>
      <c r="K859" s="45"/>
      <c r="L859" s="45"/>
      <c r="M859" s="45"/>
      <c r="N859" s="45"/>
    </row>
    <row r="860" ht="22.5" customHeight="1">
      <c r="A860" s="45"/>
      <c r="B860" s="45"/>
      <c r="C860" s="45"/>
      <c r="D860" s="45"/>
      <c r="E860" s="45"/>
      <c r="F860" s="45"/>
      <c r="G860" s="45"/>
      <c r="H860" s="45"/>
      <c r="I860" s="45"/>
      <c r="J860" s="45"/>
      <c r="K860" s="45"/>
      <c r="L860" s="45"/>
      <c r="M860" s="45"/>
      <c r="N860" s="45"/>
    </row>
    <row r="861" ht="22.5" customHeight="1">
      <c r="A861" s="45"/>
      <c r="B861" s="45"/>
      <c r="C861" s="45"/>
      <c r="D861" s="45"/>
      <c r="E861" s="45"/>
      <c r="F861" s="45"/>
      <c r="G861" s="45"/>
      <c r="H861" s="45"/>
      <c r="I861" s="45"/>
      <c r="J861" s="45"/>
      <c r="K861" s="45"/>
      <c r="L861" s="45"/>
      <c r="M861" s="45"/>
      <c r="N861" s="45"/>
    </row>
    <row r="862" ht="22.5" customHeight="1">
      <c r="A862" s="45"/>
      <c r="B862" s="45"/>
      <c r="C862" s="45"/>
      <c r="D862" s="45"/>
      <c r="E862" s="45"/>
      <c r="F862" s="45"/>
      <c r="G862" s="45"/>
      <c r="H862" s="45"/>
      <c r="I862" s="45"/>
      <c r="J862" s="45"/>
      <c r="K862" s="45"/>
      <c r="L862" s="45"/>
      <c r="M862" s="45"/>
      <c r="N862" s="45"/>
    </row>
    <row r="863" ht="22.5" customHeight="1">
      <c r="A863" s="45"/>
      <c r="B863" s="45"/>
      <c r="C863" s="45"/>
      <c r="D863" s="45"/>
      <c r="E863" s="45"/>
      <c r="F863" s="45"/>
      <c r="G863" s="45"/>
      <c r="H863" s="45"/>
      <c r="I863" s="45"/>
      <c r="J863" s="45"/>
      <c r="K863" s="45"/>
      <c r="L863" s="45"/>
      <c r="M863" s="45"/>
      <c r="N863" s="45"/>
    </row>
    <row r="864" ht="22.5" customHeight="1">
      <c r="A864" s="45"/>
      <c r="B864" s="45"/>
      <c r="C864" s="45"/>
      <c r="D864" s="45"/>
      <c r="E864" s="45"/>
      <c r="F864" s="45"/>
      <c r="G864" s="45"/>
      <c r="H864" s="45"/>
      <c r="I864" s="45"/>
      <c r="J864" s="45"/>
      <c r="K864" s="45"/>
      <c r="L864" s="45"/>
      <c r="M864" s="45"/>
      <c r="N864" s="45"/>
    </row>
    <row r="865" ht="22.5" customHeight="1">
      <c r="A865" s="45"/>
      <c r="B865" s="45"/>
      <c r="C865" s="45"/>
      <c r="D865" s="45"/>
      <c r="E865" s="45"/>
      <c r="F865" s="45"/>
      <c r="G865" s="45"/>
      <c r="H865" s="45"/>
      <c r="I865" s="45"/>
      <c r="J865" s="45"/>
      <c r="K865" s="45"/>
      <c r="L865" s="45"/>
      <c r="M865" s="45"/>
      <c r="N865" s="45"/>
    </row>
    <row r="866" ht="22.5" customHeight="1">
      <c r="A866" s="45"/>
      <c r="B866" s="45"/>
      <c r="C866" s="45"/>
      <c r="D866" s="45"/>
      <c r="E866" s="45"/>
      <c r="F866" s="45"/>
      <c r="G866" s="45"/>
      <c r="H866" s="45"/>
      <c r="I866" s="45"/>
      <c r="J866" s="45"/>
      <c r="K866" s="45"/>
      <c r="L866" s="45"/>
      <c r="M866" s="45"/>
      <c r="N866" s="45"/>
    </row>
    <row r="867" ht="22.5" customHeight="1">
      <c r="A867" s="45"/>
      <c r="B867" s="45"/>
      <c r="C867" s="45"/>
      <c r="D867" s="45"/>
      <c r="E867" s="45"/>
      <c r="F867" s="45"/>
      <c r="G867" s="45"/>
      <c r="H867" s="45"/>
      <c r="I867" s="45"/>
      <c r="J867" s="45"/>
      <c r="K867" s="45"/>
      <c r="L867" s="45"/>
      <c r="M867" s="45"/>
      <c r="N867" s="45"/>
    </row>
    <row r="868" ht="22.5" customHeight="1">
      <c r="A868" s="45"/>
      <c r="B868" s="45"/>
      <c r="C868" s="45"/>
      <c r="D868" s="45"/>
      <c r="E868" s="45"/>
      <c r="F868" s="45"/>
      <c r="G868" s="45"/>
      <c r="H868" s="45"/>
      <c r="I868" s="45"/>
      <c r="J868" s="45"/>
      <c r="K868" s="45"/>
      <c r="L868" s="45"/>
      <c r="M868" s="45"/>
      <c r="N868" s="45"/>
    </row>
    <row r="869" ht="22.5" customHeight="1">
      <c r="A869" s="45"/>
      <c r="B869" s="45"/>
      <c r="C869" s="45"/>
      <c r="D869" s="45"/>
      <c r="E869" s="45"/>
      <c r="F869" s="45"/>
      <c r="G869" s="45"/>
      <c r="H869" s="45"/>
      <c r="I869" s="45"/>
      <c r="J869" s="45"/>
      <c r="K869" s="45"/>
      <c r="L869" s="45"/>
      <c r="M869" s="45"/>
      <c r="N869" s="45"/>
    </row>
    <row r="870" ht="22.5" customHeight="1">
      <c r="A870" s="45"/>
      <c r="B870" s="45"/>
      <c r="C870" s="45"/>
      <c r="D870" s="45"/>
      <c r="E870" s="45"/>
      <c r="F870" s="45"/>
      <c r="G870" s="45"/>
      <c r="H870" s="45"/>
      <c r="I870" s="45"/>
      <c r="J870" s="45"/>
      <c r="K870" s="45"/>
      <c r="L870" s="45"/>
      <c r="M870" s="45"/>
      <c r="N870" s="45"/>
    </row>
    <row r="871" ht="22.5" customHeight="1">
      <c r="A871" s="45"/>
      <c r="B871" s="45"/>
      <c r="C871" s="45"/>
      <c r="D871" s="45"/>
      <c r="E871" s="45"/>
      <c r="F871" s="45"/>
      <c r="G871" s="45"/>
      <c r="H871" s="45"/>
      <c r="I871" s="45"/>
      <c r="J871" s="45"/>
      <c r="K871" s="45"/>
      <c r="L871" s="45"/>
      <c r="M871" s="45"/>
      <c r="N871" s="45"/>
    </row>
    <row r="872" ht="22.5" customHeight="1">
      <c r="A872" s="45"/>
      <c r="B872" s="45"/>
      <c r="C872" s="45"/>
      <c r="D872" s="45"/>
      <c r="E872" s="45"/>
      <c r="F872" s="45"/>
      <c r="G872" s="45"/>
      <c r="H872" s="45"/>
      <c r="I872" s="45"/>
      <c r="J872" s="45"/>
      <c r="K872" s="45"/>
      <c r="L872" s="45"/>
      <c r="M872" s="45"/>
      <c r="N872" s="45"/>
    </row>
    <row r="873" ht="22.5" customHeight="1">
      <c r="A873" s="45"/>
      <c r="B873" s="45"/>
      <c r="C873" s="45"/>
      <c r="D873" s="45"/>
      <c r="E873" s="45"/>
      <c r="F873" s="45"/>
      <c r="G873" s="45"/>
      <c r="H873" s="45"/>
      <c r="I873" s="45"/>
      <c r="J873" s="45"/>
      <c r="K873" s="45"/>
      <c r="L873" s="45"/>
      <c r="M873" s="45"/>
      <c r="N873" s="45"/>
    </row>
    <row r="874" ht="22.5" customHeight="1">
      <c r="A874" s="45"/>
      <c r="B874" s="45"/>
      <c r="C874" s="45"/>
      <c r="D874" s="45"/>
      <c r="E874" s="45"/>
      <c r="F874" s="45"/>
      <c r="G874" s="45"/>
      <c r="H874" s="45"/>
      <c r="I874" s="45"/>
      <c r="J874" s="45"/>
      <c r="K874" s="45"/>
      <c r="L874" s="45"/>
      <c r="M874" s="45"/>
      <c r="N874" s="45"/>
    </row>
    <row r="875" ht="22.5" customHeight="1">
      <c r="A875" s="45"/>
      <c r="B875" s="45"/>
      <c r="C875" s="45"/>
      <c r="D875" s="45"/>
      <c r="E875" s="45"/>
      <c r="F875" s="45"/>
      <c r="G875" s="45"/>
      <c r="H875" s="45"/>
      <c r="I875" s="45"/>
      <c r="J875" s="45"/>
      <c r="K875" s="45"/>
      <c r="L875" s="45"/>
      <c r="M875" s="45"/>
      <c r="N875" s="45"/>
    </row>
    <row r="876" ht="22.5" customHeight="1">
      <c r="A876" s="45"/>
      <c r="B876" s="45"/>
      <c r="C876" s="45"/>
      <c r="D876" s="45"/>
      <c r="E876" s="45"/>
      <c r="F876" s="45"/>
      <c r="G876" s="45"/>
      <c r="H876" s="45"/>
      <c r="I876" s="45"/>
      <c r="J876" s="45"/>
      <c r="K876" s="45"/>
      <c r="L876" s="45"/>
      <c r="M876" s="45"/>
      <c r="N876" s="45"/>
    </row>
    <row r="877" ht="22.5" customHeight="1">
      <c r="A877" s="45"/>
      <c r="B877" s="45"/>
      <c r="C877" s="45"/>
      <c r="D877" s="45"/>
      <c r="E877" s="45"/>
      <c r="F877" s="45"/>
      <c r="G877" s="45"/>
      <c r="H877" s="45"/>
      <c r="I877" s="45"/>
      <c r="J877" s="45"/>
      <c r="K877" s="45"/>
      <c r="L877" s="45"/>
      <c r="M877" s="45"/>
      <c r="N877" s="45"/>
    </row>
    <row r="878" ht="22.5" customHeight="1">
      <c r="A878" s="45"/>
      <c r="B878" s="45"/>
      <c r="C878" s="45"/>
      <c r="D878" s="45"/>
      <c r="E878" s="45"/>
      <c r="F878" s="45"/>
      <c r="G878" s="45"/>
      <c r="H878" s="45"/>
      <c r="I878" s="45"/>
      <c r="J878" s="45"/>
      <c r="K878" s="45"/>
      <c r="L878" s="45"/>
      <c r="M878" s="45"/>
      <c r="N878" s="45"/>
    </row>
    <row r="879" ht="22.5" customHeight="1">
      <c r="A879" s="45"/>
      <c r="B879" s="45"/>
      <c r="C879" s="45"/>
      <c r="D879" s="45"/>
      <c r="E879" s="45"/>
      <c r="F879" s="45"/>
      <c r="G879" s="45"/>
      <c r="H879" s="45"/>
      <c r="I879" s="45"/>
      <c r="J879" s="45"/>
      <c r="K879" s="45"/>
      <c r="L879" s="45"/>
      <c r="M879" s="45"/>
      <c r="N879" s="45"/>
    </row>
    <row r="880" ht="22.5" customHeight="1">
      <c r="A880" s="45"/>
      <c r="B880" s="45"/>
      <c r="C880" s="45"/>
      <c r="D880" s="45"/>
      <c r="E880" s="45"/>
      <c r="F880" s="45"/>
      <c r="G880" s="45"/>
      <c r="H880" s="45"/>
      <c r="I880" s="45"/>
      <c r="J880" s="45"/>
      <c r="K880" s="45"/>
      <c r="L880" s="45"/>
      <c r="M880" s="45"/>
      <c r="N880" s="45"/>
    </row>
    <row r="881" ht="22.5" customHeight="1">
      <c r="A881" s="45"/>
      <c r="B881" s="45"/>
      <c r="C881" s="45"/>
      <c r="D881" s="45"/>
      <c r="E881" s="45"/>
      <c r="F881" s="45"/>
      <c r="G881" s="45"/>
      <c r="H881" s="45"/>
      <c r="I881" s="45"/>
      <c r="J881" s="45"/>
      <c r="K881" s="45"/>
      <c r="L881" s="45"/>
      <c r="M881" s="45"/>
      <c r="N881" s="45"/>
    </row>
    <row r="882" ht="22.5" customHeight="1">
      <c r="A882" s="45"/>
      <c r="B882" s="45"/>
      <c r="C882" s="45"/>
      <c r="D882" s="45"/>
      <c r="E882" s="45"/>
      <c r="F882" s="45"/>
      <c r="G882" s="45"/>
      <c r="H882" s="45"/>
      <c r="I882" s="45"/>
      <c r="J882" s="45"/>
      <c r="K882" s="45"/>
      <c r="L882" s="45"/>
      <c r="M882" s="45"/>
      <c r="N882" s="45"/>
    </row>
    <row r="883" ht="22.5" customHeight="1">
      <c r="A883" s="45"/>
      <c r="B883" s="45"/>
      <c r="C883" s="45"/>
      <c r="D883" s="45"/>
      <c r="E883" s="45"/>
      <c r="F883" s="45"/>
      <c r="G883" s="45"/>
      <c r="H883" s="45"/>
      <c r="I883" s="45"/>
      <c r="J883" s="45"/>
      <c r="K883" s="45"/>
      <c r="L883" s="45"/>
      <c r="M883" s="45"/>
      <c r="N883" s="45"/>
    </row>
    <row r="884" ht="22.5" customHeight="1">
      <c r="A884" s="45"/>
      <c r="B884" s="45"/>
      <c r="C884" s="45"/>
      <c r="D884" s="45"/>
      <c r="E884" s="45"/>
      <c r="F884" s="45"/>
      <c r="G884" s="45"/>
      <c r="H884" s="45"/>
      <c r="I884" s="45"/>
      <c r="J884" s="45"/>
      <c r="K884" s="45"/>
      <c r="L884" s="45"/>
      <c r="M884" s="45"/>
      <c r="N884" s="45"/>
    </row>
    <row r="885" ht="22.5" customHeight="1">
      <c r="A885" s="45"/>
      <c r="B885" s="45"/>
      <c r="C885" s="45"/>
      <c r="D885" s="45"/>
      <c r="E885" s="45"/>
      <c r="F885" s="45"/>
      <c r="G885" s="45"/>
      <c r="H885" s="45"/>
      <c r="I885" s="45"/>
      <c r="J885" s="45"/>
      <c r="K885" s="45"/>
      <c r="L885" s="45"/>
      <c r="M885" s="45"/>
      <c r="N885" s="45"/>
    </row>
    <row r="886" ht="22.5" customHeight="1">
      <c r="A886" s="45"/>
      <c r="B886" s="45"/>
      <c r="C886" s="45"/>
      <c r="D886" s="45"/>
      <c r="E886" s="45"/>
      <c r="F886" s="45"/>
      <c r="G886" s="45"/>
      <c r="H886" s="45"/>
      <c r="I886" s="45"/>
      <c r="J886" s="45"/>
      <c r="K886" s="45"/>
      <c r="L886" s="45"/>
      <c r="M886" s="45"/>
      <c r="N886" s="45"/>
    </row>
    <row r="887" ht="22.5" customHeight="1">
      <c r="A887" s="45"/>
      <c r="B887" s="45"/>
      <c r="C887" s="45"/>
      <c r="D887" s="45"/>
      <c r="E887" s="45"/>
      <c r="F887" s="45"/>
      <c r="G887" s="45"/>
      <c r="H887" s="45"/>
      <c r="I887" s="45"/>
      <c r="J887" s="45"/>
      <c r="K887" s="45"/>
      <c r="L887" s="45"/>
      <c r="M887" s="45"/>
      <c r="N887" s="45"/>
    </row>
    <row r="888" ht="22.5" customHeight="1">
      <c r="A888" s="45"/>
      <c r="B888" s="45"/>
      <c r="C888" s="45"/>
      <c r="D888" s="45"/>
      <c r="E888" s="45"/>
      <c r="F888" s="45"/>
      <c r="G888" s="45"/>
      <c r="H888" s="45"/>
      <c r="I888" s="45"/>
      <c r="J888" s="45"/>
      <c r="K888" s="45"/>
      <c r="L888" s="45"/>
      <c r="M888" s="45"/>
      <c r="N888" s="45"/>
    </row>
    <row r="889" ht="22.5" customHeight="1">
      <c r="A889" s="45"/>
      <c r="B889" s="45"/>
      <c r="C889" s="45"/>
      <c r="D889" s="45"/>
      <c r="E889" s="45"/>
      <c r="F889" s="45"/>
      <c r="G889" s="45"/>
      <c r="H889" s="45"/>
      <c r="I889" s="45"/>
      <c r="J889" s="45"/>
      <c r="K889" s="45"/>
      <c r="L889" s="45"/>
      <c r="M889" s="45"/>
      <c r="N889" s="45"/>
    </row>
    <row r="890" ht="22.5" customHeight="1">
      <c r="A890" s="45"/>
      <c r="B890" s="45"/>
      <c r="C890" s="45"/>
      <c r="D890" s="45"/>
      <c r="E890" s="45"/>
      <c r="F890" s="45"/>
      <c r="G890" s="45"/>
      <c r="H890" s="45"/>
      <c r="I890" s="45"/>
      <c r="J890" s="45"/>
      <c r="K890" s="45"/>
      <c r="L890" s="45"/>
      <c r="M890" s="45"/>
      <c r="N890" s="45"/>
    </row>
    <row r="891" ht="22.5" customHeight="1">
      <c r="A891" s="45"/>
      <c r="B891" s="45"/>
      <c r="C891" s="45"/>
      <c r="D891" s="45"/>
      <c r="E891" s="45"/>
      <c r="F891" s="45"/>
      <c r="G891" s="45"/>
      <c r="H891" s="45"/>
      <c r="I891" s="45"/>
      <c r="J891" s="45"/>
      <c r="K891" s="45"/>
      <c r="L891" s="45"/>
      <c r="M891" s="45"/>
      <c r="N891" s="45"/>
    </row>
    <row r="892" ht="22.5" customHeight="1">
      <c r="A892" s="45"/>
      <c r="B892" s="45"/>
      <c r="C892" s="45"/>
      <c r="D892" s="45"/>
      <c r="E892" s="45"/>
      <c r="F892" s="45"/>
      <c r="G892" s="45"/>
      <c r="H892" s="45"/>
      <c r="I892" s="45"/>
      <c r="J892" s="45"/>
      <c r="K892" s="45"/>
      <c r="L892" s="45"/>
      <c r="M892" s="45"/>
      <c r="N892" s="45"/>
    </row>
    <row r="893" ht="22.5" customHeight="1">
      <c r="A893" s="45"/>
      <c r="B893" s="45"/>
      <c r="C893" s="45"/>
      <c r="D893" s="45"/>
      <c r="E893" s="45"/>
      <c r="F893" s="45"/>
      <c r="G893" s="45"/>
      <c r="H893" s="45"/>
      <c r="I893" s="45"/>
      <c r="J893" s="45"/>
      <c r="K893" s="45"/>
      <c r="L893" s="45"/>
      <c r="M893" s="45"/>
      <c r="N893" s="45"/>
    </row>
    <row r="894" ht="22.5" customHeight="1">
      <c r="A894" s="45"/>
      <c r="B894" s="45"/>
      <c r="C894" s="45"/>
      <c r="D894" s="45"/>
      <c r="E894" s="45"/>
      <c r="F894" s="45"/>
      <c r="G894" s="45"/>
      <c r="H894" s="45"/>
      <c r="I894" s="45"/>
      <c r="J894" s="45"/>
      <c r="K894" s="45"/>
      <c r="L894" s="45"/>
      <c r="M894" s="45"/>
      <c r="N894" s="45"/>
    </row>
    <row r="895" ht="22.5" customHeight="1">
      <c r="A895" s="45"/>
      <c r="B895" s="45"/>
      <c r="C895" s="45"/>
      <c r="D895" s="45"/>
      <c r="E895" s="45"/>
      <c r="F895" s="45"/>
      <c r="G895" s="45"/>
      <c r="H895" s="45"/>
      <c r="I895" s="45"/>
      <c r="J895" s="45"/>
      <c r="K895" s="45"/>
      <c r="L895" s="45"/>
      <c r="M895" s="45"/>
      <c r="N895" s="45"/>
    </row>
    <row r="896" ht="22.5" customHeight="1">
      <c r="A896" s="45"/>
      <c r="B896" s="45"/>
      <c r="C896" s="45"/>
      <c r="D896" s="45"/>
      <c r="E896" s="45"/>
      <c r="F896" s="45"/>
      <c r="G896" s="45"/>
      <c r="H896" s="45"/>
      <c r="I896" s="45"/>
      <c r="J896" s="45"/>
      <c r="K896" s="45"/>
      <c r="L896" s="45"/>
      <c r="M896" s="45"/>
      <c r="N896" s="45"/>
    </row>
    <row r="897" ht="22.5" customHeight="1">
      <c r="A897" s="45"/>
      <c r="B897" s="45"/>
      <c r="C897" s="45"/>
      <c r="D897" s="45"/>
      <c r="E897" s="45"/>
      <c r="F897" s="45"/>
      <c r="G897" s="45"/>
      <c r="H897" s="45"/>
      <c r="I897" s="45"/>
      <c r="J897" s="45"/>
      <c r="K897" s="45"/>
      <c r="L897" s="45"/>
      <c r="M897" s="45"/>
      <c r="N897" s="45"/>
    </row>
    <row r="898" ht="22.5" customHeight="1">
      <c r="A898" s="45"/>
      <c r="B898" s="45"/>
      <c r="C898" s="45"/>
      <c r="D898" s="45"/>
      <c r="E898" s="45"/>
      <c r="F898" s="45"/>
      <c r="G898" s="45"/>
      <c r="H898" s="45"/>
      <c r="I898" s="45"/>
      <c r="J898" s="45"/>
      <c r="K898" s="45"/>
      <c r="L898" s="45"/>
      <c r="M898" s="45"/>
      <c r="N898" s="45"/>
    </row>
    <row r="899" ht="22.5" customHeight="1">
      <c r="A899" s="45"/>
      <c r="B899" s="45"/>
      <c r="C899" s="45"/>
      <c r="D899" s="45"/>
      <c r="E899" s="45"/>
      <c r="F899" s="45"/>
      <c r="G899" s="45"/>
      <c r="H899" s="45"/>
      <c r="I899" s="45"/>
      <c r="J899" s="45"/>
      <c r="K899" s="45"/>
      <c r="L899" s="45"/>
      <c r="M899" s="45"/>
      <c r="N899" s="45"/>
    </row>
    <row r="900" ht="22.5" customHeight="1">
      <c r="A900" s="45"/>
      <c r="B900" s="45"/>
      <c r="C900" s="45"/>
      <c r="D900" s="45"/>
      <c r="E900" s="45"/>
      <c r="F900" s="45"/>
      <c r="G900" s="45"/>
      <c r="H900" s="45"/>
      <c r="I900" s="45"/>
      <c r="J900" s="45"/>
      <c r="K900" s="45"/>
      <c r="L900" s="45"/>
      <c r="M900" s="45"/>
      <c r="N900" s="45"/>
    </row>
    <row r="901" ht="22.5" customHeight="1">
      <c r="A901" s="45"/>
      <c r="B901" s="45"/>
      <c r="C901" s="45"/>
      <c r="D901" s="45"/>
      <c r="E901" s="45"/>
      <c r="F901" s="45"/>
      <c r="G901" s="45"/>
      <c r="H901" s="45"/>
      <c r="I901" s="45"/>
      <c r="J901" s="45"/>
      <c r="K901" s="45"/>
      <c r="L901" s="45"/>
      <c r="M901" s="45"/>
      <c r="N901" s="45"/>
    </row>
    <row r="902" ht="22.5" customHeight="1">
      <c r="A902" s="45"/>
      <c r="B902" s="45"/>
      <c r="C902" s="45"/>
      <c r="D902" s="45"/>
      <c r="E902" s="45"/>
      <c r="F902" s="45"/>
      <c r="G902" s="45"/>
      <c r="H902" s="45"/>
      <c r="I902" s="45"/>
      <c r="J902" s="45"/>
      <c r="K902" s="45"/>
      <c r="L902" s="45"/>
      <c r="M902" s="45"/>
      <c r="N902" s="45"/>
    </row>
    <row r="903" ht="22.5" customHeight="1">
      <c r="A903" s="45"/>
      <c r="B903" s="45"/>
      <c r="C903" s="45"/>
      <c r="D903" s="45"/>
      <c r="E903" s="45"/>
      <c r="F903" s="45"/>
      <c r="G903" s="45"/>
      <c r="H903" s="45"/>
      <c r="I903" s="45"/>
      <c r="J903" s="45"/>
      <c r="K903" s="45"/>
      <c r="L903" s="45"/>
      <c r="M903" s="45"/>
      <c r="N903" s="45"/>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0.43"/>
    <col customWidth="1" min="2" max="2" width="20.57"/>
    <col customWidth="1" min="3" max="3" width="41.14"/>
    <col customWidth="1" min="4" max="4" width="26.29"/>
    <col customWidth="1" min="6" max="6" width="27.0"/>
    <col customWidth="1" min="8" max="8" width="21.43"/>
    <col customWidth="1" min="9" max="9" width="27.43"/>
    <col customWidth="1" min="10" max="10" width="15.0"/>
    <col customWidth="1" min="11" max="11" width="16.43"/>
    <col customWidth="1" min="12" max="12" width="20.0"/>
    <col customWidth="1" min="13" max="13" width="58.29"/>
  </cols>
  <sheetData>
    <row r="1" ht="22.5" customHeight="1">
      <c r="A1" s="6" t="s">
        <v>1914</v>
      </c>
      <c r="B1" s="6" t="s">
        <v>1597</v>
      </c>
      <c r="C1" s="6" t="s">
        <v>1274</v>
      </c>
      <c r="D1" s="6" t="s">
        <v>1</v>
      </c>
      <c r="E1" s="6" t="s">
        <v>2</v>
      </c>
      <c r="F1" s="23" t="s">
        <v>1935</v>
      </c>
      <c r="G1" s="6" t="s">
        <v>345</v>
      </c>
      <c r="H1" s="6" t="s">
        <v>1937</v>
      </c>
      <c r="I1" s="6" t="s">
        <v>1938</v>
      </c>
      <c r="J1" s="6" t="s">
        <v>1939</v>
      </c>
      <c r="K1" s="6" t="s">
        <v>4</v>
      </c>
      <c r="L1" s="6" t="s">
        <v>1635</v>
      </c>
      <c r="M1" s="6" t="s">
        <v>5</v>
      </c>
    </row>
    <row r="2" ht="22.5" customHeight="1">
      <c r="A2" s="46" t="s">
        <v>1941</v>
      </c>
      <c r="B2" s="46" t="s">
        <v>1944</v>
      </c>
      <c r="C2" s="46" t="s">
        <v>1761</v>
      </c>
      <c r="D2" s="46" t="s">
        <v>114</v>
      </c>
      <c r="E2" s="46" t="s">
        <v>13</v>
      </c>
      <c r="F2" s="47">
        <v>1.0</v>
      </c>
      <c r="G2" s="46" t="s">
        <v>359</v>
      </c>
      <c r="H2" s="48"/>
      <c r="I2" s="46">
        <v>40.0</v>
      </c>
      <c r="J2" s="46">
        <v>40.0</v>
      </c>
      <c r="K2" s="46" t="s">
        <v>1665</v>
      </c>
      <c r="L2" s="48"/>
      <c r="M2" s="48"/>
    </row>
    <row r="3" ht="22.5" customHeight="1">
      <c r="A3" s="46" t="s">
        <v>1952</v>
      </c>
      <c r="B3" s="46" t="s">
        <v>1944</v>
      </c>
      <c r="C3" s="46" t="s">
        <v>1953</v>
      </c>
      <c r="D3" s="46" t="s">
        <v>251</v>
      </c>
      <c r="E3" s="46" t="s">
        <v>13</v>
      </c>
      <c r="F3" s="47">
        <v>1.0</v>
      </c>
      <c r="G3" s="46" t="s">
        <v>359</v>
      </c>
      <c r="H3" s="48"/>
      <c r="I3" s="46">
        <v>50.0</v>
      </c>
      <c r="J3" s="49">
        <v>50.0</v>
      </c>
      <c r="K3" s="46" t="s">
        <v>1665</v>
      </c>
      <c r="L3" s="48"/>
      <c r="M3" s="48"/>
    </row>
    <row r="4" ht="22.5" customHeight="1">
      <c r="A4" s="46" t="s">
        <v>1960</v>
      </c>
      <c r="B4" s="46" t="s">
        <v>1944</v>
      </c>
      <c r="C4" s="46" t="s">
        <v>1925</v>
      </c>
      <c r="D4" s="46" t="s">
        <v>722</v>
      </c>
      <c r="E4" s="46" t="s">
        <v>712</v>
      </c>
      <c r="F4" s="47">
        <v>1.0</v>
      </c>
      <c r="G4" s="46" t="s">
        <v>1139</v>
      </c>
      <c r="H4" s="48"/>
      <c r="I4" s="46">
        <v>80.0</v>
      </c>
      <c r="J4" s="46">
        <v>80.0</v>
      </c>
      <c r="K4" s="46" t="s">
        <v>1665</v>
      </c>
      <c r="L4" s="48"/>
      <c r="M4" s="48"/>
    </row>
    <row r="5" ht="22.5" customHeight="1">
      <c r="A5" s="46" t="s">
        <v>1962</v>
      </c>
      <c r="B5" s="46" t="s">
        <v>1944</v>
      </c>
      <c r="C5" s="46" t="s">
        <v>1746</v>
      </c>
      <c r="D5" s="46" t="s">
        <v>83</v>
      </c>
      <c r="E5" s="46" t="s">
        <v>13</v>
      </c>
      <c r="F5" s="47">
        <v>1.0</v>
      </c>
      <c r="G5" s="46" t="s">
        <v>359</v>
      </c>
      <c r="H5" s="48"/>
      <c r="I5" s="46">
        <v>49.0</v>
      </c>
      <c r="J5" s="49">
        <v>49.0</v>
      </c>
      <c r="K5" s="46" t="s">
        <v>1665</v>
      </c>
      <c r="L5" s="48"/>
      <c r="M5" s="48"/>
    </row>
    <row r="6" ht="22.5" customHeight="1">
      <c r="A6" s="46" t="s">
        <v>1970</v>
      </c>
      <c r="B6" s="46" t="s">
        <v>1944</v>
      </c>
      <c r="C6" s="46" t="s">
        <v>1750</v>
      </c>
      <c r="D6" s="46" t="s">
        <v>511</v>
      </c>
      <c r="E6" s="46" t="s">
        <v>465</v>
      </c>
      <c r="F6" s="47">
        <v>1.0</v>
      </c>
      <c r="G6" s="46" t="s">
        <v>818</v>
      </c>
      <c r="H6" s="48"/>
      <c r="I6" s="46">
        <v>12.0</v>
      </c>
      <c r="J6" s="46">
        <v>12.0</v>
      </c>
      <c r="K6" s="46" t="s">
        <v>1665</v>
      </c>
      <c r="L6" s="48"/>
      <c r="M6" s="48"/>
    </row>
    <row r="7">
      <c r="A7" s="14" t="s">
        <v>1976</v>
      </c>
      <c r="B7" s="14" t="s">
        <v>1978</v>
      </c>
      <c r="C7" s="14" t="s">
        <v>1365</v>
      </c>
      <c r="D7" s="14" t="s">
        <v>50</v>
      </c>
      <c r="E7" s="14" t="s">
        <v>13</v>
      </c>
      <c r="F7" s="14">
        <v>1.0</v>
      </c>
      <c r="G7" s="14" t="s">
        <v>359</v>
      </c>
      <c r="I7" s="14">
        <v>40.0</v>
      </c>
      <c r="J7" s="14">
        <v>40.0</v>
      </c>
      <c r="K7" s="50" t="s">
        <v>1665</v>
      </c>
    </row>
    <row r="8">
      <c r="A8" s="14" t="s">
        <v>1980</v>
      </c>
      <c r="B8" s="14" t="s">
        <v>1978</v>
      </c>
      <c r="C8" s="14" t="s">
        <v>1643</v>
      </c>
      <c r="D8" s="14" t="s">
        <v>12</v>
      </c>
      <c r="E8" s="14" t="s">
        <v>13</v>
      </c>
      <c r="F8" s="14">
        <v>1.0</v>
      </c>
      <c r="G8" s="14" t="s">
        <v>359</v>
      </c>
      <c r="I8" s="14">
        <v>30.0</v>
      </c>
      <c r="J8" s="14">
        <v>30.0</v>
      </c>
      <c r="K8" s="50" t="s">
        <v>1665</v>
      </c>
    </row>
    <row r="9">
      <c r="A9" s="14" t="s">
        <v>1985</v>
      </c>
      <c r="B9" s="14" t="s">
        <v>1978</v>
      </c>
      <c r="C9" s="14" t="s">
        <v>1722</v>
      </c>
      <c r="D9" s="14" t="s">
        <v>59</v>
      </c>
      <c r="E9" s="14" t="s">
        <v>13</v>
      </c>
      <c r="F9" s="14">
        <v>1.0</v>
      </c>
      <c r="G9" s="14" t="s">
        <v>359</v>
      </c>
      <c r="I9" s="14">
        <v>51.0</v>
      </c>
      <c r="J9" s="51">
        <v>51.0</v>
      </c>
      <c r="K9" s="50" t="s">
        <v>1665</v>
      </c>
    </row>
    <row r="10">
      <c r="A10" s="14" t="s">
        <v>1987</v>
      </c>
      <c r="B10" s="14" t="s">
        <v>1978</v>
      </c>
      <c r="C10" s="14" t="s">
        <v>1744</v>
      </c>
      <c r="D10" s="14" t="s">
        <v>144</v>
      </c>
      <c r="E10" s="14" t="s">
        <v>13</v>
      </c>
      <c r="F10" s="14">
        <v>1.0</v>
      </c>
      <c r="G10" s="14" t="s">
        <v>791</v>
      </c>
      <c r="I10" s="14">
        <v>21.0</v>
      </c>
      <c r="J10" s="14">
        <v>21.0</v>
      </c>
      <c r="K10" s="50" t="s">
        <v>1665</v>
      </c>
    </row>
    <row r="11">
      <c r="A11" s="14" t="s">
        <v>1988</v>
      </c>
      <c r="B11" s="14" t="s">
        <v>1978</v>
      </c>
      <c r="C11" s="14" t="s">
        <v>1789</v>
      </c>
      <c r="D11" s="14" t="s">
        <v>159</v>
      </c>
      <c r="E11" s="14" t="s">
        <v>13</v>
      </c>
      <c r="F11" s="14">
        <v>1.0</v>
      </c>
      <c r="G11" s="14" t="s">
        <v>359</v>
      </c>
      <c r="I11" s="14">
        <v>40.0</v>
      </c>
      <c r="J11" s="14">
        <v>40.0</v>
      </c>
      <c r="K11" s="50" t="s">
        <v>1665</v>
      </c>
    </row>
    <row r="12">
      <c r="A12" s="14" t="s">
        <v>1989</v>
      </c>
      <c r="B12" s="14" t="s">
        <v>1978</v>
      </c>
      <c r="C12" s="14" t="s">
        <v>1885</v>
      </c>
      <c r="D12" s="14" t="s">
        <v>41</v>
      </c>
      <c r="E12" s="14" t="s">
        <v>13</v>
      </c>
      <c r="F12" s="14">
        <v>1.0</v>
      </c>
      <c r="G12" s="14" t="s">
        <v>359</v>
      </c>
      <c r="I12" s="14">
        <v>50.0</v>
      </c>
      <c r="J12" s="14">
        <v>50.0</v>
      </c>
      <c r="K12" s="50" t="s">
        <v>1665</v>
      </c>
    </row>
    <row r="13">
      <c r="A13" s="14" t="s">
        <v>1991</v>
      </c>
      <c r="B13" s="14" t="s">
        <v>1978</v>
      </c>
      <c r="C13" s="14" t="s">
        <v>1754</v>
      </c>
      <c r="D13" s="14" t="s">
        <v>518</v>
      </c>
      <c r="E13" s="14" t="s">
        <v>465</v>
      </c>
      <c r="F13" s="14">
        <v>1.0</v>
      </c>
      <c r="G13" s="14" t="s">
        <v>818</v>
      </c>
      <c r="I13" s="14">
        <v>14.0</v>
      </c>
      <c r="J13" s="14">
        <v>15.0</v>
      </c>
      <c r="K13" s="50" t="s">
        <v>1665</v>
      </c>
    </row>
    <row r="14">
      <c r="A14" s="14" t="s">
        <v>1992</v>
      </c>
      <c r="B14" s="14" t="s">
        <v>1978</v>
      </c>
      <c r="C14" s="14" t="s">
        <v>1750</v>
      </c>
      <c r="D14" s="14" t="s">
        <v>511</v>
      </c>
      <c r="E14" s="14" t="s">
        <v>465</v>
      </c>
      <c r="F14" s="14">
        <v>1.0</v>
      </c>
      <c r="G14" s="14" t="s">
        <v>818</v>
      </c>
      <c r="I14" s="14">
        <v>12.0</v>
      </c>
      <c r="J14" s="14">
        <v>12.0</v>
      </c>
      <c r="K14" s="50" t="s">
        <v>1665</v>
      </c>
    </row>
    <row r="15">
      <c r="A15" s="14" t="s">
        <v>1924</v>
      </c>
      <c r="B15" s="14" t="s">
        <v>1653</v>
      </c>
      <c r="C15" s="14" t="s">
        <v>1925</v>
      </c>
      <c r="D15" s="14" t="s">
        <v>722</v>
      </c>
      <c r="E15" s="14" t="s">
        <v>712</v>
      </c>
      <c r="F15" s="51">
        <v>0.5</v>
      </c>
      <c r="G15" s="14" t="s">
        <v>1139</v>
      </c>
      <c r="H15" s="51">
        <v>10.0</v>
      </c>
      <c r="I15" s="51">
        <v>99.0</v>
      </c>
      <c r="J15" s="51">
        <v>49.5</v>
      </c>
      <c r="K15" s="14" t="s">
        <v>1665</v>
      </c>
    </row>
    <row r="16">
      <c r="A16" s="14" t="s">
        <v>1931</v>
      </c>
      <c r="B16" s="14" t="s">
        <v>1653</v>
      </c>
      <c r="C16" s="14" t="s">
        <v>1932</v>
      </c>
      <c r="D16" s="14" t="s">
        <v>463</v>
      </c>
      <c r="E16" s="14" t="s">
        <v>465</v>
      </c>
      <c r="F16" s="51">
        <v>2.0</v>
      </c>
      <c r="G16" s="14" t="s">
        <v>818</v>
      </c>
      <c r="H16" s="51">
        <v>10.0</v>
      </c>
      <c r="I16" s="51">
        <v>20.0</v>
      </c>
      <c r="J16" s="51">
        <v>40.0</v>
      </c>
      <c r="K16" s="14" t="s">
        <v>1665</v>
      </c>
    </row>
    <row r="17">
      <c r="A17" s="14" t="s">
        <v>1942</v>
      </c>
      <c r="B17" s="14" t="s">
        <v>1653</v>
      </c>
      <c r="C17" s="14" t="s">
        <v>1943</v>
      </c>
      <c r="D17" s="14" t="s">
        <v>230</v>
      </c>
      <c r="E17" s="14" t="s">
        <v>13</v>
      </c>
      <c r="F17" s="51">
        <v>0.25</v>
      </c>
      <c r="G17" s="14" t="s">
        <v>359</v>
      </c>
      <c r="H17" s="51">
        <v>5.0</v>
      </c>
      <c r="I17" s="51">
        <v>69.0</v>
      </c>
      <c r="J17" s="51">
        <v>17.25</v>
      </c>
      <c r="K17" s="14" t="s">
        <v>1665</v>
      </c>
    </row>
    <row r="18">
      <c r="A18" s="14" t="s">
        <v>1950</v>
      </c>
      <c r="B18" s="14" t="s">
        <v>1653</v>
      </c>
      <c r="C18" s="14" t="s">
        <v>1951</v>
      </c>
      <c r="D18" s="14" t="s">
        <v>289</v>
      </c>
      <c r="E18" s="14" t="s">
        <v>13</v>
      </c>
      <c r="F18" s="51">
        <v>0.25</v>
      </c>
      <c r="G18" s="14" t="s">
        <v>359</v>
      </c>
      <c r="H18" s="51">
        <v>5.0</v>
      </c>
      <c r="I18" s="51">
        <v>147.0</v>
      </c>
      <c r="J18" s="51">
        <v>36.75</v>
      </c>
      <c r="K18" s="14" t="s">
        <v>1665</v>
      </c>
    </row>
    <row r="19">
      <c r="A19" s="14" t="s">
        <v>1998</v>
      </c>
      <c r="B19" s="14" t="s">
        <v>1653</v>
      </c>
      <c r="C19" s="14" t="s">
        <v>1513</v>
      </c>
      <c r="D19" s="14" t="s">
        <v>397</v>
      </c>
      <c r="E19" s="14" t="s">
        <v>362</v>
      </c>
      <c r="F19" s="51">
        <v>0.5</v>
      </c>
      <c r="G19" s="14" t="s">
        <v>1999</v>
      </c>
      <c r="H19" s="51">
        <v>10.0</v>
      </c>
      <c r="I19" s="51">
        <v>45.0</v>
      </c>
      <c r="J19" s="51">
        <v>22.5</v>
      </c>
      <c r="K19" s="14" t="s">
        <v>2000</v>
      </c>
    </row>
    <row r="20">
      <c r="A20" s="14" t="s">
        <v>1958</v>
      </c>
      <c r="B20" s="14" t="s">
        <v>1653</v>
      </c>
      <c r="C20" s="14" t="s">
        <v>1925</v>
      </c>
      <c r="D20" s="14" t="s">
        <v>1961</v>
      </c>
      <c r="E20" s="14" t="s">
        <v>712</v>
      </c>
      <c r="F20" s="14">
        <v>1.0</v>
      </c>
      <c r="G20" s="14" t="s">
        <v>713</v>
      </c>
      <c r="H20" s="14">
        <v>5.0</v>
      </c>
      <c r="I20" s="14">
        <v>99.0</v>
      </c>
      <c r="J20" s="14">
        <v>99.0</v>
      </c>
      <c r="K20" s="14" t="s">
        <v>1665</v>
      </c>
    </row>
    <row r="21">
      <c r="A21" s="14" t="s">
        <v>2002</v>
      </c>
      <c r="B21" s="14" t="s">
        <v>2003</v>
      </c>
      <c r="C21" s="14" t="s">
        <v>1795</v>
      </c>
      <c r="D21" s="14" t="s">
        <v>710</v>
      </c>
      <c r="E21" s="14" t="s">
        <v>712</v>
      </c>
      <c r="F21" s="51">
        <v>0.25</v>
      </c>
      <c r="G21" s="14" t="s">
        <v>1139</v>
      </c>
      <c r="H21" s="51">
        <v>5.0</v>
      </c>
      <c r="I21" s="51">
        <v>79.0</v>
      </c>
      <c r="J21" s="51">
        <v>19.75</v>
      </c>
      <c r="K21" s="14" t="s">
        <v>2000</v>
      </c>
    </row>
    <row r="22">
      <c r="A22" s="14" t="s">
        <v>2004</v>
      </c>
      <c r="B22" s="14" t="s">
        <v>2005</v>
      </c>
      <c r="C22" s="14" t="s">
        <v>2006</v>
      </c>
      <c r="D22" s="14" t="s">
        <v>860</v>
      </c>
      <c r="E22" s="14" t="s">
        <v>1518</v>
      </c>
      <c r="F22" s="51">
        <v>1.0</v>
      </c>
      <c r="G22" s="14" t="s">
        <v>359</v>
      </c>
      <c r="H22" s="51">
        <v>100.0</v>
      </c>
      <c r="I22" s="51">
        <v>85.0</v>
      </c>
      <c r="J22" s="51">
        <v>85.0</v>
      </c>
      <c r="K22" s="14" t="s">
        <v>2000</v>
      </c>
    </row>
    <row r="23">
      <c r="A23" s="14" t="s">
        <v>2008</v>
      </c>
      <c r="B23" s="14" t="s">
        <v>2005</v>
      </c>
      <c r="C23" s="14" t="s">
        <v>1539</v>
      </c>
      <c r="D23" s="14" t="s">
        <v>406</v>
      </c>
      <c r="E23" s="14" t="s">
        <v>362</v>
      </c>
      <c r="F23" s="51">
        <v>11.0</v>
      </c>
      <c r="G23" s="14" t="s">
        <v>791</v>
      </c>
      <c r="H23" s="51">
        <v>70.0</v>
      </c>
      <c r="I23" s="51">
        <v>21.0</v>
      </c>
      <c r="J23" s="51">
        <v>231.0</v>
      </c>
      <c r="K23" s="14" t="s">
        <v>2000</v>
      </c>
    </row>
    <row r="24">
      <c r="A24" s="14" t="s">
        <v>2009</v>
      </c>
      <c r="B24" s="14" t="s">
        <v>1728</v>
      </c>
      <c r="C24" s="14" t="s">
        <v>1643</v>
      </c>
      <c r="D24" s="14" t="s">
        <v>12</v>
      </c>
      <c r="E24" s="14" t="s">
        <v>13</v>
      </c>
      <c r="F24" s="51">
        <v>0.75</v>
      </c>
      <c r="G24" s="14" t="s">
        <v>359</v>
      </c>
      <c r="H24" s="51">
        <v>100.0</v>
      </c>
      <c r="I24" s="51">
        <v>36.0</v>
      </c>
      <c r="J24" s="51">
        <v>27.0</v>
      </c>
      <c r="K24" s="14" t="s">
        <v>1665</v>
      </c>
    </row>
    <row r="25">
      <c r="A25" s="14" t="s">
        <v>2010</v>
      </c>
      <c r="B25" s="14" t="s">
        <v>1728</v>
      </c>
      <c r="C25" s="14" t="s">
        <v>1722</v>
      </c>
      <c r="D25" s="14" t="s">
        <v>59</v>
      </c>
      <c r="E25" s="14" t="s">
        <v>13</v>
      </c>
      <c r="F25" s="51">
        <v>0.25</v>
      </c>
      <c r="G25" s="14" t="s">
        <v>359</v>
      </c>
      <c r="H25" s="51">
        <v>40.0</v>
      </c>
      <c r="I25" s="51">
        <v>62.0</v>
      </c>
      <c r="J25" s="51">
        <v>15.5</v>
      </c>
      <c r="K25" s="14" t="s">
        <v>1665</v>
      </c>
    </row>
    <row r="26">
      <c r="A26" s="14" t="s">
        <v>2007</v>
      </c>
      <c r="B26" s="14" t="s">
        <v>1728</v>
      </c>
      <c r="C26" s="14" t="s">
        <v>1765</v>
      </c>
      <c r="D26" s="14" t="s">
        <v>28</v>
      </c>
      <c r="E26" s="14" t="s">
        <v>13</v>
      </c>
      <c r="F26" s="51">
        <v>0.5</v>
      </c>
      <c r="G26" s="14" t="s">
        <v>359</v>
      </c>
      <c r="H26" s="51">
        <v>69.0</v>
      </c>
      <c r="I26" s="51">
        <v>43.0</v>
      </c>
      <c r="J26" s="51">
        <v>21.5</v>
      </c>
      <c r="K26" s="14" t="s">
        <v>1665</v>
      </c>
    </row>
    <row r="27">
      <c r="A27" s="14" t="s">
        <v>1993</v>
      </c>
      <c r="B27" s="14" t="s">
        <v>1728</v>
      </c>
      <c r="C27" s="14" t="s">
        <v>1800</v>
      </c>
      <c r="D27" s="14" t="s">
        <v>213</v>
      </c>
      <c r="E27" s="14" t="s">
        <v>13</v>
      </c>
      <c r="F27" s="51">
        <v>0.25</v>
      </c>
      <c r="G27" s="14" t="s">
        <v>359</v>
      </c>
      <c r="H27" s="51">
        <v>20.0</v>
      </c>
      <c r="I27" s="51">
        <v>44.0</v>
      </c>
      <c r="J27" s="51">
        <v>11.0</v>
      </c>
      <c r="K27" s="14" t="s">
        <v>1665</v>
      </c>
    </row>
    <row r="28">
      <c r="A28" s="14" t="s">
        <v>1979</v>
      </c>
      <c r="B28" s="14" t="s">
        <v>1728</v>
      </c>
      <c r="C28" s="14" t="s">
        <v>1885</v>
      </c>
      <c r="D28" s="14" t="s">
        <v>41</v>
      </c>
      <c r="E28" s="14" t="s">
        <v>13</v>
      </c>
      <c r="F28" s="51">
        <v>0.5</v>
      </c>
      <c r="G28" s="14" t="s">
        <v>359</v>
      </c>
      <c r="H28" s="51">
        <v>50.0</v>
      </c>
      <c r="I28" s="51">
        <v>79.0</v>
      </c>
      <c r="J28" s="51">
        <v>39.5</v>
      </c>
      <c r="K28" s="14" t="s">
        <v>1665</v>
      </c>
    </row>
    <row r="29">
      <c r="A29" s="14" t="s">
        <v>1969</v>
      </c>
      <c r="B29" s="14" t="s">
        <v>1728</v>
      </c>
      <c r="C29" s="14" t="s">
        <v>1867</v>
      </c>
      <c r="D29" s="14" t="s">
        <v>642</v>
      </c>
      <c r="E29" s="14" t="s">
        <v>13</v>
      </c>
      <c r="F29" s="51">
        <v>0.5</v>
      </c>
      <c r="G29" s="14" t="s">
        <v>359</v>
      </c>
      <c r="H29" s="51">
        <v>20.0</v>
      </c>
      <c r="I29" s="51">
        <v>49.0</v>
      </c>
      <c r="J29" s="51">
        <v>24.5</v>
      </c>
      <c r="K29" s="14" t="s">
        <v>1665</v>
      </c>
    </row>
    <row r="30">
      <c r="A30" s="14" t="s">
        <v>1966</v>
      </c>
      <c r="B30" s="14" t="s">
        <v>1728</v>
      </c>
      <c r="C30" s="14" t="s">
        <v>1967</v>
      </c>
      <c r="D30" s="14" t="s">
        <v>208</v>
      </c>
      <c r="E30" s="14" t="s">
        <v>13</v>
      </c>
      <c r="F30" s="51">
        <v>0.25</v>
      </c>
      <c r="G30" s="14" t="s">
        <v>359</v>
      </c>
      <c r="H30" s="51">
        <v>15.0</v>
      </c>
      <c r="I30" s="51">
        <v>44.0</v>
      </c>
      <c r="J30" s="51">
        <v>11.0</v>
      </c>
      <c r="K30" s="14" t="s">
        <v>1665</v>
      </c>
    </row>
    <row r="31">
      <c r="A31" s="14" t="s">
        <v>2016</v>
      </c>
      <c r="B31" s="14" t="s">
        <v>1728</v>
      </c>
      <c r="C31" s="14" t="s">
        <v>1911</v>
      </c>
      <c r="D31" s="14" t="s">
        <v>483</v>
      </c>
      <c r="E31" s="14" t="s">
        <v>465</v>
      </c>
      <c r="F31" s="51">
        <v>1.0</v>
      </c>
      <c r="G31" s="14" t="s">
        <v>818</v>
      </c>
      <c r="H31" s="51">
        <v>30.0</v>
      </c>
      <c r="I31" s="51">
        <v>18.0</v>
      </c>
      <c r="J31" s="51">
        <v>18.0</v>
      </c>
      <c r="K31" s="14" t="s">
        <v>1665</v>
      </c>
    </row>
    <row r="32">
      <c r="A32" s="14" t="s">
        <v>2017</v>
      </c>
      <c r="B32" s="14" t="s">
        <v>1728</v>
      </c>
      <c r="C32" s="14" t="s">
        <v>1365</v>
      </c>
      <c r="D32" s="14" t="s">
        <v>50</v>
      </c>
      <c r="E32" s="14" t="s">
        <v>13</v>
      </c>
      <c r="F32" s="51">
        <v>0.25</v>
      </c>
      <c r="G32" s="14" t="s">
        <v>359</v>
      </c>
      <c r="H32" s="51">
        <v>100.0</v>
      </c>
      <c r="I32" s="51">
        <v>46.0</v>
      </c>
      <c r="J32" s="51">
        <v>11.5</v>
      </c>
      <c r="K32" s="14" t="s">
        <v>1665</v>
      </c>
    </row>
    <row r="33">
      <c r="A33" s="14" t="s">
        <v>2018</v>
      </c>
      <c r="B33" s="14" t="s">
        <v>1728</v>
      </c>
      <c r="C33" s="14" t="s">
        <v>1951</v>
      </c>
      <c r="D33" s="14" t="s">
        <v>289</v>
      </c>
      <c r="E33" s="14" t="s">
        <v>13</v>
      </c>
      <c r="F33" s="51">
        <v>0.25</v>
      </c>
      <c r="G33" s="14" t="s">
        <v>359</v>
      </c>
      <c r="H33" s="51">
        <v>5.0</v>
      </c>
      <c r="I33" s="51">
        <v>147.0</v>
      </c>
      <c r="J33" s="51">
        <v>36.75</v>
      </c>
      <c r="K33" s="14" t="s">
        <v>1665</v>
      </c>
    </row>
    <row r="34">
      <c r="A34" s="14" t="s">
        <v>2019</v>
      </c>
      <c r="B34" s="14" t="s">
        <v>1752</v>
      </c>
      <c r="C34" s="14" t="s">
        <v>1365</v>
      </c>
      <c r="D34" s="14" t="s">
        <v>50</v>
      </c>
      <c r="E34" s="14" t="s">
        <v>13</v>
      </c>
      <c r="F34" s="51">
        <v>0.5</v>
      </c>
      <c r="G34" s="14" t="s">
        <v>359</v>
      </c>
      <c r="H34" s="51">
        <v>100.0</v>
      </c>
      <c r="I34" s="51">
        <v>46.0</v>
      </c>
      <c r="J34" s="51">
        <v>23.0</v>
      </c>
      <c r="K34" s="14" t="s">
        <v>146</v>
      </c>
    </row>
    <row r="35">
      <c r="A35" s="14" t="s">
        <v>2021</v>
      </c>
      <c r="B35" s="14" t="s">
        <v>1752</v>
      </c>
      <c r="C35" s="14" t="s">
        <v>1643</v>
      </c>
      <c r="D35" s="14" t="s">
        <v>12</v>
      </c>
      <c r="E35" s="14" t="s">
        <v>13</v>
      </c>
      <c r="F35" s="51">
        <v>1.5</v>
      </c>
      <c r="G35" s="14" t="s">
        <v>359</v>
      </c>
      <c r="H35" s="51">
        <v>100.0</v>
      </c>
      <c r="I35" s="51">
        <v>36.0</v>
      </c>
      <c r="J35" s="51">
        <v>54.0</v>
      </c>
      <c r="K35" s="14" t="s">
        <v>146</v>
      </c>
    </row>
    <row r="36">
      <c r="A36" s="14" t="s">
        <v>2024</v>
      </c>
      <c r="B36" s="14" t="s">
        <v>1752</v>
      </c>
      <c r="C36" s="14" t="s">
        <v>1789</v>
      </c>
      <c r="D36" s="14" t="s">
        <v>159</v>
      </c>
      <c r="E36" s="14" t="s">
        <v>13</v>
      </c>
      <c r="F36" s="51">
        <v>0.5</v>
      </c>
      <c r="G36" s="14" t="s">
        <v>359</v>
      </c>
      <c r="H36" s="51">
        <v>80.0</v>
      </c>
      <c r="I36" s="51">
        <v>49.0</v>
      </c>
      <c r="J36" s="51">
        <v>24.5</v>
      </c>
      <c r="K36" s="14" t="s">
        <v>146</v>
      </c>
    </row>
    <row r="37">
      <c r="A37" s="14" t="s">
        <v>2026</v>
      </c>
      <c r="B37" s="14" t="s">
        <v>1752</v>
      </c>
      <c r="C37" s="14" t="s">
        <v>1791</v>
      </c>
      <c r="D37" s="14" t="s">
        <v>221</v>
      </c>
      <c r="E37" s="14" t="s">
        <v>13</v>
      </c>
      <c r="F37" s="51">
        <v>0.5</v>
      </c>
      <c r="G37" s="14" t="s">
        <v>359</v>
      </c>
      <c r="H37" s="51">
        <v>20.0</v>
      </c>
      <c r="I37" s="51">
        <v>45.0</v>
      </c>
      <c r="J37" s="51">
        <v>22.5</v>
      </c>
      <c r="K37" s="14" t="s">
        <v>146</v>
      </c>
    </row>
    <row r="38">
      <c r="A38" s="14" t="s">
        <v>2028</v>
      </c>
      <c r="B38" s="14" t="s">
        <v>1752</v>
      </c>
      <c r="C38" s="14" t="s">
        <v>1959</v>
      </c>
      <c r="D38" s="14" t="s">
        <v>651</v>
      </c>
      <c r="E38" s="14" t="s">
        <v>13</v>
      </c>
      <c r="F38" s="51">
        <v>0.5</v>
      </c>
      <c r="G38" s="14" t="s">
        <v>359</v>
      </c>
      <c r="H38" s="51">
        <v>20.0</v>
      </c>
      <c r="I38" s="51">
        <v>40.0</v>
      </c>
      <c r="J38" s="51">
        <v>20.0</v>
      </c>
      <c r="K38" s="14" t="s">
        <v>146</v>
      </c>
    </row>
    <row r="39">
      <c r="A39" s="14" t="s">
        <v>2029</v>
      </c>
      <c r="B39" s="14" t="s">
        <v>1752</v>
      </c>
      <c r="C39" s="14" t="s">
        <v>1761</v>
      </c>
      <c r="D39" s="14" t="s">
        <v>114</v>
      </c>
      <c r="E39" s="14" t="s">
        <v>13</v>
      </c>
      <c r="F39" s="51">
        <v>0.5</v>
      </c>
      <c r="G39" s="14" t="s">
        <v>359</v>
      </c>
      <c r="H39" s="51">
        <v>20.0</v>
      </c>
      <c r="I39" s="51">
        <v>59.0</v>
      </c>
      <c r="J39" s="51">
        <v>29.5</v>
      </c>
      <c r="K39" s="14" t="s">
        <v>146</v>
      </c>
    </row>
    <row r="40">
      <c r="A40" s="14" t="s">
        <v>2030</v>
      </c>
      <c r="B40" s="14" t="s">
        <v>1752</v>
      </c>
      <c r="C40" s="14" t="s">
        <v>1951</v>
      </c>
      <c r="D40" s="14" t="s">
        <v>289</v>
      </c>
      <c r="E40" s="14" t="s">
        <v>13</v>
      </c>
      <c r="F40" s="51">
        <v>0.25</v>
      </c>
      <c r="G40" s="14" t="s">
        <v>359</v>
      </c>
      <c r="H40" s="51">
        <v>5.0</v>
      </c>
      <c r="I40" s="51">
        <v>147.0</v>
      </c>
      <c r="J40" s="51">
        <v>36.75</v>
      </c>
      <c r="K40" s="14" t="s">
        <v>146</v>
      </c>
    </row>
    <row r="41">
      <c r="A41" s="14" t="s">
        <v>2031</v>
      </c>
      <c r="B41" s="14" t="s">
        <v>1752</v>
      </c>
      <c r="C41" s="14" t="s">
        <v>1953</v>
      </c>
      <c r="D41" s="14" t="s">
        <v>251</v>
      </c>
      <c r="E41" s="14" t="s">
        <v>13</v>
      </c>
      <c r="F41" s="51">
        <v>0.5</v>
      </c>
      <c r="G41" s="14" t="s">
        <v>359</v>
      </c>
      <c r="H41" s="51">
        <v>30.0</v>
      </c>
      <c r="I41" s="51">
        <v>49.0</v>
      </c>
      <c r="J41" s="51">
        <v>24.5</v>
      </c>
      <c r="K41" s="14" t="s">
        <v>146</v>
      </c>
    </row>
    <row r="42">
      <c r="A42" s="14" t="s">
        <v>2032</v>
      </c>
      <c r="B42" s="14" t="s">
        <v>1752</v>
      </c>
      <c r="C42" s="14" t="s">
        <v>1925</v>
      </c>
      <c r="D42" s="14" t="s">
        <v>722</v>
      </c>
      <c r="E42" s="14" t="s">
        <v>712</v>
      </c>
      <c r="F42" s="51">
        <v>0.5</v>
      </c>
      <c r="G42" s="14" t="s">
        <v>1139</v>
      </c>
      <c r="H42" s="51">
        <v>10.0</v>
      </c>
      <c r="I42" s="51">
        <v>99.0</v>
      </c>
      <c r="J42" s="51">
        <v>49.5</v>
      </c>
      <c r="K42" s="14" t="s">
        <v>146</v>
      </c>
    </row>
    <row r="43">
      <c r="A43" s="14" t="s">
        <v>2033</v>
      </c>
      <c r="B43" s="14" t="s">
        <v>1752</v>
      </c>
      <c r="C43" s="14" t="s">
        <v>1750</v>
      </c>
      <c r="D43" s="14" t="s">
        <v>511</v>
      </c>
      <c r="E43" s="14" t="s">
        <v>465</v>
      </c>
      <c r="F43" s="51">
        <v>1.0</v>
      </c>
      <c r="G43" s="14" t="s">
        <v>818</v>
      </c>
      <c r="H43" s="51">
        <v>10.0</v>
      </c>
      <c r="I43" s="51">
        <v>13.0</v>
      </c>
      <c r="J43" s="51">
        <v>13.0</v>
      </c>
      <c r="K43" s="14" t="s">
        <v>146</v>
      </c>
    </row>
    <row r="44">
      <c r="A44" s="14" t="s">
        <v>2035</v>
      </c>
      <c r="B44" s="14" t="s">
        <v>1752</v>
      </c>
      <c r="C44" s="14" t="s">
        <v>2006</v>
      </c>
      <c r="D44" s="14" t="s">
        <v>860</v>
      </c>
      <c r="E44" s="14" t="s">
        <v>1518</v>
      </c>
      <c r="F44" s="51">
        <v>0.25</v>
      </c>
      <c r="G44" s="14" t="s">
        <v>359</v>
      </c>
      <c r="H44" s="51">
        <v>100.0</v>
      </c>
      <c r="I44" s="51">
        <v>85.0</v>
      </c>
      <c r="J44" s="51">
        <v>21.25</v>
      </c>
      <c r="K44" s="14" t="s">
        <v>146</v>
      </c>
    </row>
    <row r="45">
      <c r="A45" s="14" t="s">
        <v>2037</v>
      </c>
      <c r="B45" s="14" t="s">
        <v>1774</v>
      </c>
      <c r="C45" s="14" t="s">
        <v>1643</v>
      </c>
      <c r="D45" s="14" t="s">
        <v>12</v>
      </c>
      <c r="E45" s="14" t="s">
        <v>13</v>
      </c>
      <c r="F45" s="51">
        <v>0.5</v>
      </c>
      <c r="G45" s="14" t="s">
        <v>359</v>
      </c>
      <c r="H45" s="51">
        <v>100.0</v>
      </c>
      <c r="I45" s="51">
        <v>41.0</v>
      </c>
      <c r="J45" s="51">
        <v>20.5</v>
      </c>
      <c r="K45" s="14" t="s">
        <v>146</v>
      </c>
    </row>
    <row r="46">
      <c r="A46" s="14" t="s">
        <v>2038</v>
      </c>
      <c r="B46" s="14" t="s">
        <v>1774</v>
      </c>
      <c r="C46" s="14" t="s">
        <v>1683</v>
      </c>
      <c r="D46" s="14" t="s">
        <v>190</v>
      </c>
      <c r="E46" s="14" t="s">
        <v>13</v>
      </c>
      <c r="F46" s="51">
        <v>0.25</v>
      </c>
      <c r="G46" s="14" t="s">
        <v>359</v>
      </c>
      <c r="H46" s="51">
        <v>70.0</v>
      </c>
      <c r="I46" s="51">
        <v>44.0</v>
      </c>
      <c r="J46" s="51">
        <v>11.0</v>
      </c>
      <c r="K46" s="14" t="s">
        <v>146</v>
      </c>
    </row>
    <row r="47">
      <c r="A47" s="14" t="s">
        <v>2041</v>
      </c>
      <c r="B47" s="14" t="s">
        <v>1774</v>
      </c>
      <c r="C47" s="14" t="s">
        <v>1722</v>
      </c>
      <c r="D47" s="14" t="s">
        <v>59</v>
      </c>
      <c r="E47" s="14" t="s">
        <v>13</v>
      </c>
      <c r="F47" s="51">
        <v>0.25</v>
      </c>
      <c r="G47" s="14" t="s">
        <v>359</v>
      </c>
      <c r="H47" s="51">
        <v>40.0</v>
      </c>
      <c r="I47" s="51">
        <v>62.0</v>
      </c>
      <c r="J47" s="51">
        <v>15.5</v>
      </c>
      <c r="K47" s="14" t="s">
        <v>146</v>
      </c>
    </row>
    <row r="48">
      <c r="A48" s="14" t="s">
        <v>2043</v>
      </c>
      <c r="B48" s="14" t="s">
        <v>1774</v>
      </c>
      <c r="C48" s="14" t="s">
        <v>1822</v>
      </c>
      <c r="D48" s="14" t="s">
        <v>517</v>
      </c>
      <c r="E48" s="14" t="s">
        <v>362</v>
      </c>
      <c r="F48" s="51">
        <v>0.5</v>
      </c>
      <c r="G48" s="14" t="s">
        <v>359</v>
      </c>
      <c r="H48" s="51">
        <v>20.0</v>
      </c>
      <c r="I48" s="51">
        <v>230.0</v>
      </c>
      <c r="J48" s="51">
        <v>115.0</v>
      </c>
      <c r="K48" s="14" t="s">
        <v>146</v>
      </c>
    </row>
    <row r="49">
      <c r="A49" s="14" t="s">
        <v>2044</v>
      </c>
      <c r="B49" s="14" t="s">
        <v>2045</v>
      </c>
      <c r="C49" s="14" t="s">
        <v>1327</v>
      </c>
      <c r="D49" s="14" t="s">
        <v>128</v>
      </c>
      <c r="E49" s="14" t="s">
        <v>13</v>
      </c>
      <c r="F49" s="51">
        <v>0.25</v>
      </c>
      <c r="G49" s="14" t="s">
        <v>359</v>
      </c>
      <c r="H49" s="51">
        <v>30.0</v>
      </c>
      <c r="I49" s="51">
        <v>45.0</v>
      </c>
      <c r="J49" s="51">
        <v>11.25</v>
      </c>
      <c r="K49" s="14" t="s">
        <v>146</v>
      </c>
    </row>
    <row r="50">
      <c r="A50" s="14" t="s">
        <v>2046</v>
      </c>
      <c r="B50" s="14" t="s">
        <v>2045</v>
      </c>
      <c r="C50" s="14" t="s">
        <v>1590</v>
      </c>
      <c r="D50" s="14" t="s">
        <v>204</v>
      </c>
      <c r="E50" s="14" t="s">
        <v>13</v>
      </c>
      <c r="F50" s="51">
        <v>0.25</v>
      </c>
      <c r="G50" s="14" t="s">
        <v>359</v>
      </c>
      <c r="H50" s="51">
        <v>40.0</v>
      </c>
      <c r="I50" s="51">
        <v>39.0</v>
      </c>
      <c r="J50" s="51">
        <v>9.75</v>
      </c>
      <c r="K50" s="14" t="s">
        <v>146</v>
      </c>
    </row>
    <row r="51">
      <c r="A51" s="14" t="s">
        <v>2047</v>
      </c>
      <c r="B51" s="14" t="s">
        <v>2045</v>
      </c>
      <c r="C51" s="14" t="s">
        <v>1643</v>
      </c>
      <c r="D51" s="14" t="s">
        <v>12</v>
      </c>
      <c r="E51" s="14" t="s">
        <v>13</v>
      </c>
      <c r="F51" s="51">
        <v>0.25</v>
      </c>
      <c r="G51" s="14" t="s">
        <v>359</v>
      </c>
      <c r="H51" s="51">
        <v>100.0</v>
      </c>
      <c r="I51" s="51">
        <v>41.0</v>
      </c>
      <c r="J51" s="51">
        <v>10.25</v>
      </c>
      <c r="K51" s="14" t="s">
        <v>146</v>
      </c>
    </row>
    <row r="52">
      <c r="A52" s="14" t="s">
        <v>2048</v>
      </c>
      <c r="B52" s="14" t="s">
        <v>2045</v>
      </c>
      <c r="C52" s="14" t="s">
        <v>1683</v>
      </c>
      <c r="D52" s="14" t="s">
        <v>190</v>
      </c>
      <c r="E52" s="14" t="s">
        <v>13</v>
      </c>
      <c r="F52" s="51">
        <v>0.25</v>
      </c>
      <c r="G52" s="14" t="s">
        <v>359</v>
      </c>
      <c r="H52" s="51">
        <v>70.0</v>
      </c>
      <c r="I52" s="51">
        <v>44.0</v>
      </c>
      <c r="J52" s="51">
        <v>11.0</v>
      </c>
      <c r="K52" s="14" t="s">
        <v>146</v>
      </c>
    </row>
    <row r="53">
      <c r="A53" s="14" t="s">
        <v>2049</v>
      </c>
      <c r="B53" s="14" t="s">
        <v>2045</v>
      </c>
      <c r="C53" s="14" t="s">
        <v>1722</v>
      </c>
      <c r="D53" s="14" t="s">
        <v>59</v>
      </c>
      <c r="E53" s="14" t="s">
        <v>13</v>
      </c>
      <c r="F53" s="51">
        <v>4.0</v>
      </c>
      <c r="G53" s="14" t="s">
        <v>359</v>
      </c>
      <c r="H53" s="51">
        <v>40.0</v>
      </c>
      <c r="I53" s="51">
        <v>62.0</v>
      </c>
      <c r="J53" s="51">
        <v>248.0</v>
      </c>
      <c r="K53" s="14" t="s">
        <v>146</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0.14"/>
    <col customWidth="1" min="2" max="2" width="33.57"/>
    <col customWidth="1" min="3" max="4" width="31.14"/>
    <col customWidth="1" min="5" max="6" width="30.0"/>
    <col customWidth="1" min="7" max="8" width="20.86"/>
    <col customWidth="1" min="9" max="9" width="22.0"/>
    <col customWidth="1" min="10" max="10" width="18.57"/>
    <col customWidth="1" min="11" max="11" width="33.0"/>
    <col customWidth="1" min="12" max="12" width="93.0"/>
    <col customWidth="1" min="13" max="13" width="31.14"/>
  </cols>
  <sheetData>
    <row r="1" ht="22.5" customHeight="1">
      <c r="A1" s="6" t="s">
        <v>2077</v>
      </c>
      <c r="B1" s="6" t="s">
        <v>1588</v>
      </c>
      <c r="C1" s="6" t="s">
        <v>1601</v>
      </c>
      <c r="D1" s="6" t="s">
        <v>2078</v>
      </c>
      <c r="E1" s="6" t="s">
        <v>1623</v>
      </c>
      <c r="F1" s="6" t="s">
        <v>1921</v>
      </c>
      <c r="G1" s="6" t="s">
        <v>2079</v>
      </c>
      <c r="H1" s="6" t="s">
        <v>645</v>
      </c>
      <c r="I1" s="6" t="s">
        <v>2080</v>
      </c>
      <c r="J1" s="6" t="s">
        <v>650</v>
      </c>
      <c r="K1" s="6" t="s">
        <v>2081</v>
      </c>
      <c r="L1" s="6" t="s">
        <v>5</v>
      </c>
    </row>
    <row r="2">
      <c r="A2" s="14" t="s">
        <v>2083</v>
      </c>
      <c r="B2" s="14" t="s">
        <v>1649</v>
      </c>
      <c r="C2" s="14" t="s">
        <v>1657</v>
      </c>
      <c r="E2" s="14">
        <v>49.0</v>
      </c>
      <c r="F2" s="14">
        <v>291.5</v>
      </c>
      <c r="H2" s="14" t="s">
        <v>674</v>
      </c>
      <c r="J2" s="24">
        <v>46285.0</v>
      </c>
      <c r="K2" s="14" t="s">
        <v>115</v>
      </c>
      <c r="L2" s="14" t="s">
        <v>2086</v>
      </c>
    </row>
    <row r="3">
      <c r="A3" s="14" t="s">
        <v>2087</v>
      </c>
      <c r="B3" s="14" t="s">
        <v>1725</v>
      </c>
      <c r="C3" s="14" t="s">
        <v>1730</v>
      </c>
      <c r="D3" s="14">
        <v>216.25</v>
      </c>
      <c r="E3" s="14">
        <v>49.0</v>
      </c>
      <c r="F3" s="14">
        <v>265.0</v>
      </c>
      <c r="G3" s="14" t="s">
        <v>2088</v>
      </c>
      <c r="H3" s="14" t="s">
        <v>674</v>
      </c>
      <c r="J3" s="24">
        <v>46291.0</v>
      </c>
      <c r="K3" s="14" t="s">
        <v>2089</v>
      </c>
      <c r="L3" s="14" t="s">
        <v>2090</v>
      </c>
    </row>
    <row r="4">
      <c r="A4" s="14" t="s">
        <v>2092</v>
      </c>
      <c r="B4" s="14" t="s">
        <v>1751</v>
      </c>
      <c r="C4" s="14" t="s">
        <v>1753</v>
      </c>
      <c r="F4" s="14">
        <v>347.5</v>
      </c>
      <c r="H4" s="14" t="s">
        <v>1763</v>
      </c>
      <c r="J4" s="24">
        <v>46295.0</v>
      </c>
      <c r="L4" s="14" t="s">
        <v>2093</v>
      </c>
    </row>
    <row r="5">
      <c r="A5" s="14" t="s">
        <v>2094</v>
      </c>
      <c r="B5" s="14" t="s">
        <v>1773</v>
      </c>
      <c r="C5" s="14" t="s">
        <v>1775</v>
      </c>
      <c r="F5" s="14">
        <v>211.0</v>
      </c>
      <c r="H5" s="14" t="s">
        <v>1763</v>
      </c>
      <c r="J5" s="24">
        <v>46298.0</v>
      </c>
      <c r="L5" s="14" t="s">
        <v>2095</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2.57"/>
    <col customWidth="1" min="2" max="2" width="19.71"/>
    <col customWidth="1" min="3" max="3" width="15.14"/>
    <col customWidth="1" min="5" max="5" width="15.57"/>
    <col customWidth="1" min="6" max="6" width="21.86"/>
    <col customWidth="1" min="7" max="10" width="19.0"/>
  </cols>
  <sheetData>
    <row r="1" ht="22.5" customHeight="1">
      <c r="A1" s="6" t="s">
        <v>2135</v>
      </c>
      <c r="B1" s="6" t="s">
        <v>1604</v>
      </c>
      <c r="C1" s="6" t="s">
        <v>2136</v>
      </c>
      <c r="D1" s="6" t="s">
        <v>2137</v>
      </c>
      <c r="E1" s="6" t="s">
        <v>2138</v>
      </c>
      <c r="F1" s="6" t="s">
        <v>2139</v>
      </c>
      <c r="G1" s="6" t="s">
        <v>2140</v>
      </c>
      <c r="H1" s="6" t="s">
        <v>46</v>
      </c>
      <c r="I1" s="6" t="s">
        <v>2142</v>
      </c>
      <c r="J1" s="6" t="s">
        <v>2144</v>
      </c>
    </row>
    <row r="2" ht="22.5" customHeight="1">
      <c r="A2" s="8" t="s">
        <v>2146</v>
      </c>
      <c r="B2" s="8">
        <v>8.688750792E9</v>
      </c>
      <c r="C2" s="8" t="s">
        <v>2147</v>
      </c>
      <c r="D2" s="8" t="s">
        <v>2149</v>
      </c>
      <c r="E2" s="11">
        <v>46294.58902604166</v>
      </c>
      <c r="F2" s="11">
        <v>46294.59249826389</v>
      </c>
      <c r="G2" s="43">
        <v>0.0</v>
      </c>
      <c r="H2" s="43"/>
      <c r="I2" s="43"/>
      <c r="J2" s="43"/>
    </row>
    <row r="3" ht="22.5" customHeight="1">
      <c r="A3" s="8" t="s">
        <v>2150</v>
      </c>
      <c r="B3" s="8">
        <v>8.688750792E9</v>
      </c>
      <c r="C3" s="8" t="s">
        <v>2151</v>
      </c>
      <c r="D3" s="8" t="s">
        <v>2152</v>
      </c>
      <c r="E3" s="11">
        <v>46294.62499041666</v>
      </c>
      <c r="F3" s="11">
        <v>46294.62846263889</v>
      </c>
      <c r="G3" s="43">
        <v>0.0</v>
      </c>
      <c r="H3" s="8" t="s">
        <v>2154</v>
      </c>
    </row>
    <row r="4" ht="22.5" customHeight="1">
      <c r="A4" s="8" t="s">
        <v>2156</v>
      </c>
      <c r="B4" s="8">
        <v>8.688750792E9</v>
      </c>
      <c r="C4" s="8" t="s">
        <v>2157</v>
      </c>
      <c r="D4" s="8" t="s">
        <v>2158</v>
      </c>
      <c r="E4" s="11">
        <v>46294.62903814815</v>
      </c>
      <c r="F4" s="11">
        <v>46294.63251037037</v>
      </c>
      <c r="G4" s="43">
        <v>0.0</v>
      </c>
      <c r="H4" s="8" t="s">
        <v>2154</v>
      </c>
    </row>
    <row r="5" ht="22.5" customHeight="1">
      <c r="A5" s="8" t="s">
        <v>2160</v>
      </c>
      <c r="B5" s="8">
        <v>8.688750792E9</v>
      </c>
      <c r="C5" s="8" t="s">
        <v>2161</v>
      </c>
      <c r="D5" s="8" t="s">
        <v>2162</v>
      </c>
      <c r="E5" s="11">
        <v>46294.63554530093</v>
      </c>
      <c r="F5" s="11">
        <v>46294.63901752315</v>
      </c>
      <c r="G5" s="43">
        <v>0.0</v>
      </c>
      <c r="H5" s="8" t="s">
        <v>2163</v>
      </c>
      <c r="I5" s="52">
        <v>46294.63587236111</v>
      </c>
    </row>
    <row r="6" ht="22.5" customHeight="1">
      <c r="A6" s="8" t="s">
        <v>2164</v>
      </c>
      <c r="B6" s="8">
        <v>8.688750792E9</v>
      </c>
      <c r="C6" s="8" t="s">
        <v>2165</v>
      </c>
      <c r="D6" s="8" t="s">
        <v>2166</v>
      </c>
      <c r="E6" s="11">
        <v>46294.64227170139</v>
      </c>
      <c r="F6" s="11">
        <v>46294.64574392361</v>
      </c>
      <c r="G6" s="43">
        <v>0.0</v>
      </c>
      <c r="H6" s="8" t="s">
        <v>2168</v>
      </c>
      <c r="I6" s="52">
        <v>46294.642515775464</v>
      </c>
      <c r="J6" s="52">
        <v>46294.64269115741</v>
      </c>
    </row>
    <row r="7" ht="22.5" customHeight="1"/>
    <row r="8" ht="22.5" customHeight="1"/>
    <row r="9" ht="22.5" customHeight="1"/>
    <row r="10" ht="22.5" customHeight="1"/>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2" max="2" width="39.86"/>
    <col customWidth="1" min="3" max="3" width="26.71"/>
    <col customWidth="1" min="4" max="4" width="23.0"/>
    <col customWidth="1" min="5" max="5" width="19.71"/>
    <col customWidth="1" min="6" max="6" width="30.86"/>
    <col customWidth="1" min="7" max="7" width="52.57"/>
    <col customWidth="1" min="8" max="8" width="26.57"/>
    <col customWidth="1" min="9" max="9" width="73.29"/>
    <col customWidth="1" min="10" max="11" width="61.43"/>
    <col customWidth="1" min="12" max="12" width="26.43"/>
    <col customWidth="1" min="13" max="13" width="23.86"/>
    <col customWidth="1" min="14" max="14" width="20.0"/>
    <col customWidth="1" min="15" max="21" width="28.86"/>
    <col customWidth="1" min="22" max="22" width="132.14"/>
  </cols>
  <sheetData>
    <row r="1" ht="22.5" customHeight="1">
      <c r="A1" s="25" t="s">
        <v>1597</v>
      </c>
      <c r="B1" s="6" t="s">
        <v>2212</v>
      </c>
      <c r="C1" s="6" t="s">
        <v>2213</v>
      </c>
      <c r="D1" s="6" t="s">
        <v>1601</v>
      </c>
      <c r="E1" s="6" t="s">
        <v>1604</v>
      </c>
      <c r="F1" s="6" t="s">
        <v>1607</v>
      </c>
      <c r="G1" s="6" t="s">
        <v>1608</v>
      </c>
      <c r="H1" s="6" t="s">
        <v>2214</v>
      </c>
      <c r="I1" s="6" t="s">
        <v>2215</v>
      </c>
      <c r="J1" s="6" t="s">
        <v>2216</v>
      </c>
      <c r="K1" s="6" t="s">
        <v>2217</v>
      </c>
      <c r="L1" s="6" t="s">
        <v>1599</v>
      </c>
      <c r="M1" s="6" t="s">
        <v>2220</v>
      </c>
      <c r="N1" s="6" t="s">
        <v>645</v>
      </c>
      <c r="O1" s="6" t="s">
        <v>1620</v>
      </c>
      <c r="P1" s="6" t="s">
        <v>1635</v>
      </c>
      <c r="Q1" s="6" t="s">
        <v>1939</v>
      </c>
      <c r="R1" s="23" t="s">
        <v>1623</v>
      </c>
      <c r="S1" s="23" t="s">
        <v>1644</v>
      </c>
      <c r="T1" s="23" t="s">
        <v>2221</v>
      </c>
      <c r="U1" s="23" t="s">
        <v>2222</v>
      </c>
      <c r="V1" s="6" t="s">
        <v>5</v>
      </c>
    </row>
    <row r="2" ht="22.5" customHeight="1">
      <c r="A2" s="6" t="s">
        <v>1944</v>
      </c>
      <c r="B2" s="45"/>
      <c r="C2" s="53">
        <v>46281.50831716435</v>
      </c>
      <c r="D2" s="6" t="s">
        <v>2223</v>
      </c>
      <c r="E2" s="6">
        <v>8.919791705E9</v>
      </c>
      <c r="F2" s="6" t="s">
        <v>2225</v>
      </c>
      <c r="G2" s="6" t="s">
        <v>2227</v>
      </c>
      <c r="H2" s="6" t="s">
        <v>2229</v>
      </c>
      <c r="I2" s="45"/>
      <c r="J2" s="6" t="s">
        <v>1664</v>
      </c>
      <c r="K2" s="45"/>
      <c r="L2" s="6" t="s">
        <v>2232</v>
      </c>
      <c r="M2" s="6" t="s">
        <v>146</v>
      </c>
      <c r="N2" s="6" t="s">
        <v>1763</v>
      </c>
      <c r="O2" s="6" t="s">
        <v>1763</v>
      </c>
      <c r="P2" s="45"/>
      <c r="Q2" s="54">
        <v>175.0</v>
      </c>
      <c r="R2" s="54"/>
      <c r="S2" s="54"/>
      <c r="T2" s="54"/>
      <c r="U2" s="54"/>
      <c r="V2" s="45"/>
    </row>
    <row r="3" ht="22.5" customHeight="1">
      <c r="A3" s="6" t="s">
        <v>1978</v>
      </c>
      <c r="B3" s="45"/>
      <c r="C3" s="53">
        <v>46281.56468899305</v>
      </c>
      <c r="D3" s="6" t="s">
        <v>2236</v>
      </c>
      <c r="E3" s="6">
        <v>9.059558707E9</v>
      </c>
      <c r="F3" s="6" t="s">
        <v>2237</v>
      </c>
      <c r="G3" s="6" t="s">
        <v>2238</v>
      </c>
      <c r="H3" s="6" t="s">
        <v>2229</v>
      </c>
      <c r="I3" s="45"/>
      <c r="J3" s="6" t="s">
        <v>1664</v>
      </c>
      <c r="K3" s="45"/>
      <c r="L3" s="55">
        <v>46282.0</v>
      </c>
      <c r="M3" s="6" t="s">
        <v>146</v>
      </c>
      <c r="N3" s="6" t="s">
        <v>1763</v>
      </c>
      <c r="O3" s="6" t="s">
        <v>1763</v>
      </c>
      <c r="P3" s="45"/>
      <c r="Q3" s="54">
        <v>298.0</v>
      </c>
      <c r="R3" s="54"/>
      <c r="S3" s="54"/>
      <c r="T3" s="54"/>
      <c r="U3" s="54"/>
      <c r="V3" s="45"/>
    </row>
    <row r="4" ht="22.5" customHeight="1">
      <c r="A4" s="6" t="s">
        <v>1653</v>
      </c>
      <c r="B4" s="6" t="s">
        <v>2242</v>
      </c>
      <c r="C4" s="53">
        <v>46284.53621391204</v>
      </c>
      <c r="D4" s="6" t="s">
        <v>1657</v>
      </c>
      <c r="E4" s="6">
        <v>6.303425583E9</v>
      </c>
      <c r="F4" s="6" t="s">
        <v>1660</v>
      </c>
      <c r="G4" s="6" t="s">
        <v>1662</v>
      </c>
      <c r="H4" s="6" t="s">
        <v>2229</v>
      </c>
      <c r="I4" s="6" t="s">
        <v>2244</v>
      </c>
      <c r="J4" s="6" t="s">
        <v>1664</v>
      </c>
      <c r="K4" s="45"/>
      <c r="L4" s="6" t="s">
        <v>2245</v>
      </c>
      <c r="M4" s="6" t="s">
        <v>2246</v>
      </c>
      <c r="N4" s="6" t="s">
        <v>1763</v>
      </c>
      <c r="O4" s="6" t="s">
        <v>2247</v>
      </c>
      <c r="P4" s="6" t="s">
        <v>2242</v>
      </c>
      <c r="Q4" s="6">
        <v>291.5</v>
      </c>
      <c r="R4" s="6"/>
      <c r="S4" s="6"/>
      <c r="T4" s="6"/>
      <c r="U4" s="6"/>
      <c r="V4" s="45"/>
    </row>
    <row r="5" ht="22.5" customHeight="1">
      <c r="A5" s="6" t="s">
        <v>2003</v>
      </c>
      <c r="B5" s="45"/>
      <c r="C5" s="53">
        <v>46285.580504537036</v>
      </c>
      <c r="D5" s="6" t="s">
        <v>2251</v>
      </c>
      <c r="E5" s="6">
        <v>6.302054516E9</v>
      </c>
      <c r="F5" s="6">
        <v>506001.0</v>
      </c>
      <c r="G5" s="6" t="s">
        <v>2252</v>
      </c>
      <c r="H5" s="6" t="s">
        <v>2229</v>
      </c>
      <c r="I5" s="6" t="s">
        <v>2253</v>
      </c>
      <c r="J5" s="6" t="s">
        <v>1664</v>
      </c>
      <c r="K5" s="45"/>
      <c r="L5" s="56">
        <v>46275.0</v>
      </c>
      <c r="M5" s="6" t="s">
        <v>2000</v>
      </c>
      <c r="N5" s="6" t="s">
        <v>1763</v>
      </c>
      <c r="O5" s="6" t="s">
        <v>1763</v>
      </c>
      <c r="P5" s="45"/>
      <c r="Q5" s="54">
        <v>19.75</v>
      </c>
      <c r="R5" s="54"/>
      <c r="S5" s="54"/>
      <c r="T5" s="54"/>
      <c r="U5" s="54"/>
      <c r="V5" s="45"/>
    </row>
    <row r="6" ht="22.5" customHeight="1">
      <c r="A6" s="6" t="s">
        <v>2005</v>
      </c>
      <c r="B6" s="6" t="s">
        <v>2258</v>
      </c>
      <c r="C6" s="53">
        <v>46290.48644626157</v>
      </c>
      <c r="D6" s="6" t="s">
        <v>2259</v>
      </c>
      <c r="E6" s="6">
        <v>9.87654321E9</v>
      </c>
      <c r="F6" s="6" t="s">
        <v>2260</v>
      </c>
      <c r="G6" s="6" t="s">
        <v>2261</v>
      </c>
      <c r="H6" s="6" t="s">
        <v>2229</v>
      </c>
      <c r="I6" s="6" t="s">
        <v>2263</v>
      </c>
      <c r="J6" s="6" t="s">
        <v>1664</v>
      </c>
      <c r="K6" s="45"/>
      <c r="L6" s="56">
        <v>46291.0</v>
      </c>
      <c r="M6" s="6" t="s">
        <v>2000</v>
      </c>
      <c r="N6" s="6" t="s">
        <v>2000</v>
      </c>
      <c r="O6" s="6" t="s">
        <v>2000</v>
      </c>
      <c r="P6" s="45"/>
      <c r="Q6" s="54">
        <v>345.0</v>
      </c>
      <c r="R6" s="54"/>
      <c r="S6" s="54"/>
      <c r="T6" s="54"/>
      <c r="U6" s="57"/>
      <c r="V6" s="45"/>
    </row>
    <row r="7" ht="22.5" customHeight="1">
      <c r="A7" s="6" t="s">
        <v>1728</v>
      </c>
      <c r="B7" s="6" t="s">
        <v>2267</v>
      </c>
      <c r="C7" s="53">
        <v>46290.60299866898</v>
      </c>
      <c r="D7" s="6" t="s">
        <v>1730</v>
      </c>
      <c r="E7" s="6">
        <v>8.68643044E9</v>
      </c>
      <c r="F7" s="6" t="s">
        <v>1731</v>
      </c>
      <c r="G7" s="6" t="s">
        <v>1733</v>
      </c>
      <c r="H7" s="6" t="s">
        <v>2229</v>
      </c>
      <c r="I7" s="6" t="s">
        <v>2269</v>
      </c>
      <c r="J7" s="6" t="s">
        <v>1664</v>
      </c>
      <c r="K7" s="45"/>
      <c r="L7" s="56">
        <v>46291.0</v>
      </c>
      <c r="M7" s="6" t="s">
        <v>1665</v>
      </c>
      <c r="N7" s="6" t="s">
        <v>674</v>
      </c>
      <c r="O7" s="6" t="s">
        <v>2271</v>
      </c>
      <c r="P7" s="6" t="s">
        <v>2267</v>
      </c>
      <c r="Q7" s="54">
        <v>265.25</v>
      </c>
      <c r="R7" s="54"/>
      <c r="S7" s="54"/>
      <c r="T7" s="54"/>
      <c r="U7" s="54"/>
      <c r="V7" s="6"/>
    </row>
    <row r="8" ht="22.5" customHeight="1">
      <c r="A8" s="6" t="s">
        <v>1752</v>
      </c>
      <c r="B8" s="6" t="s">
        <v>1751</v>
      </c>
      <c r="C8" s="53">
        <v>46291.33628318287</v>
      </c>
      <c r="D8" s="6" t="s">
        <v>1753</v>
      </c>
      <c r="E8" s="6">
        <v>9.121757505E9</v>
      </c>
      <c r="F8" s="6" t="s">
        <v>1757</v>
      </c>
      <c r="G8" s="6" t="s">
        <v>1759</v>
      </c>
      <c r="H8" s="6" t="s">
        <v>2229</v>
      </c>
      <c r="I8" s="6" t="s">
        <v>2273</v>
      </c>
      <c r="J8" s="6" t="s">
        <v>1664</v>
      </c>
      <c r="K8" s="45"/>
      <c r="L8" s="56">
        <v>46292.0</v>
      </c>
      <c r="M8" s="6" t="s">
        <v>1665</v>
      </c>
      <c r="N8" s="6" t="s">
        <v>1666</v>
      </c>
      <c r="O8" s="6" t="s">
        <v>2274</v>
      </c>
      <c r="P8" s="45"/>
      <c r="Q8" s="54">
        <v>347.5</v>
      </c>
      <c r="R8" s="54"/>
      <c r="S8" s="54"/>
      <c r="T8" s="54"/>
      <c r="U8" s="54"/>
      <c r="V8" s="6" t="s">
        <v>1766</v>
      </c>
    </row>
    <row r="9" ht="22.5" customHeight="1">
      <c r="A9" s="6" t="s">
        <v>1774</v>
      </c>
      <c r="B9" s="6" t="s">
        <v>2279</v>
      </c>
      <c r="C9" s="53">
        <v>46298.23861315972</v>
      </c>
      <c r="D9" s="25" t="s">
        <v>1775</v>
      </c>
      <c r="E9" s="6">
        <v>9.573291136E9</v>
      </c>
      <c r="F9" s="25" t="s">
        <v>1776</v>
      </c>
      <c r="G9" s="6" t="s">
        <v>1777</v>
      </c>
      <c r="H9" s="6" t="s">
        <v>2229</v>
      </c>
      <c r="I9" s="6" t="s">
        <v>2280</v>
      </c>
      <c r="J9" s="6" t="s">
        <v>1664</v>
      </c>
      <c r="K9" s="45"/>
      <c r="L9" s="56">
        <v>46298.0</v>
      </c>
      <c r="M9" s="6" t="s">
        <v>2246</v>
      </c>
      <c r="N9" s="6" t="s">
        <v>1763</v>
      </c>
      <c r="O9" s="6" t="s">
        <v>1763</v>
      </c>
      <c r="P9" s="6" t="s">
        <v>2279</v>
      </c>
      <c r="Q9" s="54">
        <v>211.0</v>
      </c>
      <c r="R9" s="54"/>
      <c r="S9" s="54"/>
      <c r="T9" s="54"/>
      <c r="U9" s="54"/>
      <c r="V9" s="45"/>
    </row>
    <row r="10" ht="22.5" customHeight="1">
      <c r="A10" s="45"/>
      <c r="B10" s="45"/>
      <c r="C10" s="45"/>
      <c r="D10" s="45"/>
      <c r="E10" s="45"/>
      <c r="F10" s="45"/>
      <c r="G10" s="45"/>
      <c r="H10" s="45"/>
      <c r="I10" s="45"/>
      <c r="J10" s="45"/>
      <c r="K10" s="45"/>
      <c r="L10" s="45"/>
      <c r="M10" s="45"/>
      <c r="N10" s="45"/>
      <c r="O10" s="45"/>
      <c r="P10" s="45"/>
      <c r="Q10" s="45"/>
      <c r="R10" s="45"/>
      <c r="S10" s="45"/>
      <c r="T10" s="45"/>
      <c r="U10" s="45"/>
      <c r="V10" s="45"/>
    </row>
    <row r="11" ht="22.5" customHeight="1">
      <c r="A11" s="45"/>
      <c r="B11" s="45"/>
      <c r="C11" s="44"/>
      <c r="D11" s="45"/>
      <c r="E11" s="45"/>
      <c r="F11" s="45"/>
      <c r="G11" s="45"/>
      <c r="H11" s="45"/>
      <c r="I11" s="45"/>
      <c r="J11" s="45"/>
      <c r="K11" s="45"/>
      <c r="L11" s="45"/>
      <c r="M11" s="45"/>
      <c r="N11" s="45"/>
      <c r="O11" s="45"/>
      <c r="P11" s="45"/>
      <c r="Q11" s="45"/>
      <c r="R11" s="45"/>
      <c r="S11" s="45"/>
      <c r="T11" s="45"/>
      <c r="U11" s="45"/>
      <c r="V11" s="45"/>
    </row>
    <row r="12" ht="22.5" customHeight="1">
      <c r="A12" s="45"/>
      <c r="B12" s="45"/>
      <c r="C12" s="45"/>
      <c r="D12" s="45"/>
      <c r="E12" s="45"/>
      <c r="F12" s="45"/>
      <c r="G12" s="45"/>
      <c r="H12" s="45"/>
      <c r="I12" s="45"/>
      <c r="J12" s="45"/>
      <c r="K12" s="45"/>
      <c r="L12" s="45"/>
      <c r="M12" s="45"/>
      <c r="N12" s="45"/>
      <c r="O12" s="45"/>
      <c r="P12" s="45"/>
      <c r="Q12" s="45"/>
      <c r="R12" s="45"/>
      <c r="S12" s="45"/>
      <c r="T12" s="45"/>
      <c r="U12" s="45"/>
      <c r="V12" s="45"/>
    </row>
    <row r="13" ht="22.5" customHeight="1">
      <c r="A13" s="45"/>
      <c r="B13" s="44"/>
      <c r="C13" s="44"/>
      <c r="D13" s="45"/>
      <c r="E13" s="45"/>
      <c r="F13" s="45"/>
      <c r="G13" s="45"/>
      <c r="H13" s="45"/>
      <c r="I13" s="45"/>
      <c r="J13" s="45"/>
      <c r="K13" s="45"/>
      <c r="L13" s="45"/>
      <c r="M13" s="45"/>
      <c r="N13" s="45"/>
      <c r="O13" s="45"/>
      <c r="P13" s="45"/>
      <c r="Q13" s="45"/>
      <c r="R13" s="45"/>
      <c r="S13" s="45"/>
      <c r="T13" s="45"/>
      <c r="U13" s="45"/>
      <c r="V13" s="45"/>
    </row>
    <row r="14" ht="22.5" customHeight="1">
      <c r="A14" s="45"/>
      <c r="B14" s="45"/>
      <c r="C14" s="45"/>
      <c r="D14" s="45"/>
      <c r="E14" s="45"/>
      <c r="F14" s="45"/>
      <c r="G14" s="45"/>
      <c r="H14" s="45"/>
      <c r="I14" s="45"/>
      <c r="J14" s="45"/>
      <c r="K14" s="45"/>
      <c r="L14" s="45"/>
      <c r="M14" s="45"/>
      <c r="N14" s="45"/>
      <c r="O14" s="45"/>
      <c r="P14" s="45"/>
      <c r="Q14" s="45"/>
      <c r="R14" s="45"/>
      <c r="S14" s="45"/>
      <c r="T14" s="45"/>
      <c r="U14" s="45"/>
      <c r="V14" s="45"/>
    </row>
    <row r="15" ht="22.5" customHeight="1">
      <c r="A15" s="45"/>
      <c r="B15" s="45"/>
      <c r="C15" s="45"/>
      <c r="D15" s="44"/>
      <c r="E15" s="45"/>
      <c r="F15" s="45"/>
      <c r="G15" s="45"/>
      <c r="H15" s="45"/>
      <c r="I15" s="45"/>
      <c r="J15" s="45"/>
      <c r="K15" s="45"/>
      <c r="L15" s="45"/>
      <c r="M15" s="45"/>
      <c r="N15" s="45"/>
      <c r="O15" s="45"/>
      <c r="P15" s="45"/>
      <c r="Q15" s="45"/>
      <c r="R15" s="45"/>
      <c r="S15" s="45"/>
      <c r="T15" s="45"/>
      <c r="U15" s="45"/>
      <c r="V15" s="45"/>
    </row>
    <row r="16" ht="22.5" customHeight="1">
      <c r="A16" s="45"/>
      <c r="B16" s="45"/>
      <c r="C16" s="45"/>
      <c r="D16" s="45"/>
      <c r="E16" s="45"/>
      <c r="F16" s="45"/>
      <c r="G16" s="45"/>
      <c r="H16" s="45"/>
      <c r="I16" s="45"/>
      <c r="J16" s="45"/>
      <c r="K16" s="45"/>
      <c r="L16" s="45"/>
      <c r="M16" s="45"/>
      <c r="N16" s="45"/>
      <c r="O16" s="45"/>
      <c r="P16" s="45"/>
      <c r="Q16" s="45"/>
      <c r="R16" s="45"/>
      <c r="S16" s="45"/>
      <c r="T16" s="45"/>
      <c r="U16" s="45"/>
      <c r="V16" s="45"/>
    </row>
    <row r="17" ht="22.5" customHeight="1">
      <c r="A17" s="45"/>
      <c r="B17" s="45"/>
      <c r="C17" s="45"/>
      <c r="D17" s="45"/>
      <c r="E17" s="45"/>
      <c r="F17" s="45"/>
      <c r="G17" s="45"/>
      <c r="H17" s="45"/>
      <c r="I17" s="45"/>
      <c r="J17" s="45"/>
      <c r="K17" s="45"/>
      <c r="L17" s="45"/>
      <c r="M17" s="45"/>
      <c r="N17" s="45"/>
      <c r="O17" s="45"/>
      <c r="P17" s="45"/>
      <c r="Q17" s="45"/>
      <c r="R17" s="45"/>
      <c r="S17" s="45"/>
      <c r="T17" s="45"/>
      <c r="U17" s="45"/>
      <c r="V17" s="45"/>
    </row>
    <row r="18" ht="22.5" customHeight="1">
      <c r="A18" s="45"/>
      <c r="B18" s="45"/>
      <c r="C18" s="45"/>
      <c r="D18" s="45"/>
      <c r="E18" s="45"/>
      <c r="F18" s="45"/>
      <c r="G18" s="45"/>
      <c r="H18" s="45"/>
      <c r="I18" s="45"/>
      <c r="J18" s="45"/>
      <c r="K18" s="45"/>
      <c r="L18" s="45"/>
      <c r="M18" s="45"/>
      <c r="N18" s="45"/>
      <c r="O18" s="45"/>
      <c r="P18" s="45"/>
      <c r="Q18" s="45"/>
      <c r="R18" s="45"/>
      <c r="S18" s="45"/>
      <c r="T18" s="45"/>
      <c r="U18" s="45"/>
      <c r="V18" s="45"/>
    </row>
    <row r="19" ht="22.5" customHeight="1">
      <c r="A19" s="45"/>
      <c r="B19" s="45"/>
      <c r="C19" s="45"/>
      <c r="D19" s="45"/>
      <c r="E19" s="45"/>
      <c r="F19" s="45"/>
      <c r="G19" s="45"/>
      <c r="H19" s="45"/>
      <c r="I19" s="45"/>
      <c r="J19" s="45"/>
      <c r="K19" s="45"/>
      <c r="L19" s="45"/>
      <c r="M19" s="45"/>
      <c r="N19" s="45"/>
      <c r="O19" s="45"/>
      <c r="P19" s="45"/>
      <c r="Q19" s="45"/>
      <c r="R19" s="45"/>
      <c r="S19" s="45"/>
      <c r="T19" s="45"/>
      <c r="U19" s="45"/>
      <c r="V19" s="45"/>
    </row>
    <row r="20" ht="22.5" customHeight="1">
      <c r="A20" s="45"/>
      <c r="B20" s="45"/>
      <c r="C20" s="45"/>
      <c r="D20" s="45"/>
      <c r="E20" s="45"/>
      <c r="F20" s="45"/>
      <c r="G20" s="45"/>
      <c r="H20" s="45"/>
      <c r="I20" s="45"/>
      <c r="J20" s="45"/>
      <c r="K20" s="45"/>
      <c r="L20" s="45"/>
      <c r="M20" s="45"/>
      <c r="N20" s="45"/>
      <c r="O20" s="45"/>
      <c r="P20" s="45"/>
      <c r="Q20" s="45"/>
      <c r="R20" s="45"/>
      <c r="S20" s="45"/>
      <c r="T20" s="45"/>
      <c r="U20" s="45"/>
      <c r="V20" s="45"/>
    </row>
    <row r="21" ht="22.5" customHeight="1">
      <c r="A21" s="45"/>
      <c r="B21" s="45"/>
      <c r="C21" s="45"/>
      <c r="D21" s="45"/>
      <c r="E21" s="45"/>
      <c r="F21" s="45"/>
      <c r="G21" s="45"/>
      <c r="H21" s="45"/>
      <c r="I21" s="45"/>
      <c r="J21" s="45"/>
      <c r="K21" s="45"/>
      <c r="L21" s="45"/>
      <c r="M21" s="45"/>
      <c r="N21" s="45"/>
      <c r="O21" s="45"/>
      <c r="P21" s="45"/>
      <c r="Q21" s="45"/>
      <c r="R21" s="45"/>
      <c r="S21" s="45"/>
      <c r="T21" s="45"/>
      <c r="U21" s="45"/>
      <c r="V21" s="45"/>
    </row>
    <row r="22" ht="22.5" customHeight="1">
      <c r="A22" s="45"/>
      <c r="B22" s="45"/>
      <c r="C22" s="45"/>
      <c r="D22" s="45"/>
      <c r="E22" s="45"/>
      <c r="F22" s="45"/>
      <c r="G22" s="45"/>
      <c r="H22" s="45"/>
      <c r="I22" s="45"/>
      <c r="J22" s="45"/>
      <c r="K22" s="45"/>
      <c r="L22" s="45"/>
      <c r="M22" s="45"/>
      <c r="N22" s="45"/>
      <c r="O22" s="45"/>
      <c r="P22" s="45"/>
      <c r="Q22" s="45"/>
      <c r="R22" s="45"/>
      <c r="S22" s="45"/>
      <c r="T22" s="45"/>
      <c r="U22" s="45"/>
      <c r="V22" s="45"/>
    </row>
    <row r="23" ht="22.5" customHeight="1">
      <c r="A23" s="45"/>
      <c r="B23" s="45"/>
      <c r="C23" s="45"/>
      <c r="D23" s="45"/>
      <c r="E23" s="45"/>
      <c r="F23" s="45"/>
      <c r="G23" s="45"/>
      <c r="H23" s="45"/>
      <c r="I23" s="45"/>
      <c r="J23" s="45"/>
      <c r="K23" s="45"/>
      <c r="L23" s="45"/>
      <c r="M23" s="45"/>
      <c r="N23" s="45"/>
      <c r="O23" s="45"/>
      <c r="P23" s="45"/>
      <c r="Q23" s="45"/>
      <c r="R23" s="45"/>
      <c r="S23" s="45"/>
      <c r="T23" s="45"/>
      <c r="U23" s="45"/>
      <c r="V23" s="45"/>
    </row>
    <row r="24" ht="22.5" customHeight="1">
      <c r="A24" s="45"/>
      <c r="B24" s="45"/>
      <c r="C24" s="45"/>
      <c r="D24" s="45"/>
      <c r="E24" s="45"/>
      <c r="F24" s="45"/>
      <c r="G24" s="45"/>
      <c r="H24" s="45"/>
      <c r="I24" s="45"/>
      <c r="J24" s="45"/>
      <c r="K24" s="45"/>
      <c r="L24" s="45"/>
      <c r="M24" s="45"/>
      <c r="N24" s="45"/>
      <c r="O24" s="45"/>
      <c r="P24" s="45"/>
      <c r="Q24" s="45"/>
      <c r="R24" s="45"/>
      <c r="S24" s="45"/>
      <c r="T24" s="45"/>
      <c r="U24" s="45"/>
      <c r="V24" s="45"/>
    </row>
    <row r="25" ht="22.5" customHeight="1">
      <c r="A25" s="45"/>
      <c r="B25" s="45"/>
      <c r="C25" s="45"/>
      <c r="D25" s="45"/>
      <c r="E25" s="45"/>
      <c r="F25" s="45"/>
      <c r="G25" s="45"/>
      <c r="H25" s="45"/>
      <c r="I25" s="45"/>
      <c r="J25" s="45"/>
      <c r="K25" s="45"/>
      <c r="L25" s="45"/>
      <c r="M25" s="45"/>
      <c r="N25" s="45"/>
      <c r="O25" s="45"/>
      <c r="P25" s="45"/>
      <c r="Q25" s="45"/>
      <c r="R25" s="45"/>
      <c r="S25" s="45"/>
      <c r="T25" s="45"/>
      <c r="U25" s="45"/>
      <c r="V25" s="45"/>
    </row>
    <row r="26" ht="22.5" customHeight="1">
      <c r="A26" s="45"/>
      <c r="B26" s="45"/>
      <c r="C26" s="45"/>
      <c r="D26" s="45"/>
      <c r="E26" s="45"/>
      <c r="F26" s="45"/>
      <c r="G26" s="45"/>
      <c r="H26" s="45"/>
      <c r="I26" s="45"/>
      <c r="J26" s="45"/>
      <c r="K26" s="45"/>
      <c r="L26" s="45"/>
      <c r="M26" s="45"/>
      <c r="N26" s="45"/>
      <c r="O26" s="45"/>
      <c r="P26" s="45"/>
      <c r="Q26" s="45"/>
      <c r="R26" s="45"/>
      <c r="S26" s="45"/>
      <c r="T26" s="45"/>
      <c r="U26" s="45"/>
      <c r="V26" s="45"/>
    </row>
    <row r="27" ht="22.5" customHeight="1">
      <c r="A27" s="45"/>
      <c r="B27" s="45"/>
      <c r="C27" s="45"/>
      <c r="D27" s="45"/>
      <c r="E27" s="45"/>
      <c r="F27" s="45"/>
      <c r="G27" s="45"/>
      <c r="H27" s="45"/>
      <c r="I27" s="45"/>
      <c r="J27" s="45"/>
      <c r="K27" s="45"/>
      <c r="L27" s="45"/>
      <c r="M27" s="45"/>
      <c r="N27" s="45"/>
      <c r="O27" s="45"/>
      <c r="P27" s="45"/>
      <c r="Q27" s="45"/>
      <c r="R27" s="45"/>
      <c r="S27" s="45"/>
      <c r="T27" s="45"/>
      <c r="U27" s="45"/>
      <c r="V27" s="45"/>
    </row>
    <row r="28" ht="22.5" customHeight="1">
      <c r="A28" s="45"/>
      <c r="B28" s="45"/>
      <c r="C28" s="45"/>
      <c r="D28" s="45"/>
      <c r="E28" s="45"/>
      <c r="F28" s="45"/>
      <c r="G28" s="45"/>
      <c r="H28" s="45"/>
      <c r="I28" s="45"/>
      <c r="J28" s="45"/>
      <c r="K28" s="45"/>
      <c r="L28" s="45"/>
      <c r="M28" s="45"/>
      <c r="N28" s="45"/>
      <c r="O28" s="45"/>
      <c r="P28" s="45"/>
      <c r="Q28" s="45"/>
      <c r="R28" s="45"/>
      <c r="S28" s="45"/>
      <c r="T28" s="45"/>
      <c r="U28" s="45"/>
      <c r="V28" s="45"/>
    </row>
    <row r="29" ht="22.5" customHeight="1">
      <c r="A29" s="45"/>
      <c r="B29" s="45"/>
      <c r="C29" s="45"/>
      <c r="D29" s="45"/>
      <c r="E29" s="45"/>
      <c r="F29" s="45"/>
      <c r="G29" s="45"/>
      <c r="H29" s="45"/>
      <c r="I29" s="45"/>
      <c r="J29" s="45"/>
      <c r="K29" s="45"/>
      <c r="L29" s="45"/>
      <c r="M29" s="45"/>
      <c r="N29" s="45"/>
      <c r="O29" s="45"/>
      <c r="P29" s="45"/>
      <c r="Q29" s="45"/>
      <c r="R29" s="45"/>
      <c r="S29" s="45"/>
      <c r="T29" s="45"/>
      <c r="U29" s="45"/>
      <c r="V29" s="45"/>
    </row>
    <row r="30" ht="22.5" customHeight="1">
      <c r="A30" s="45"/>
      <c r="B30" s="45"/>
      <c r="C30" s="45"/>
      <c r="D30" s="45"/>
      <c r="E30" s="45"/>
      <c r="F30" s="45"/>
      <c r="G30" s="45"/>
      <c r="H30" s="45"/>
      <c r="I30" s="45"/>
      <c r="J30" s="45"/>
      <c r="K30" s="45"/>
      <c r="L30" s="45"/>
      <c r="M30" s="45"/>
      <c r="N30" s="45"/>
      <c r="O30" s="45"/>
      <c r="P30" s="45"/>
      <c r="Q30" s="45"/>
      <c r="R30" s="45"/>
      <c r="S30" s="45"/>
      <c r="T30" s="45"/>
      <c r="U30" s="45"/>
      <c r="V30" s="45"/>
    </row>
    <row r="31" ht="22.5" customHeight="1">
      <c r="A31" s="45"/>
      <c r="B31" s="45"/>
      <c r="C31" s="45"/>
      <c r="D31" s="45"/>
      <c r="E31" s="45"/>
      <c r="F31" s="45"/>
      <c r="G31" s="45"/>
      <c r="H31" s="45"/>
      <c r="I31" s="45"/>
      <c r="J31" s="45"/>
      <c r="K31" s="45"/>
      <c r="L31" s="45"/>
      <c r="M31" s="45"/>
      <c r="N31" s="45"/>
      <c r="O31" s="45"/>
      <c r="P31" s="45"/>
      <c r="Q31" s="45"/>
      <c r="R31" s="45"/>
      <c r="S31" s="45"/>
      <c r="T31" s="45"/>
      <c r="U31" s="45"/>
      <c r="V31" s="45"/>
    </row>
    <row r="32" ht="22.5" customHeight="1">
      <c r="A32" s="45"/>
      <c r="B32" s="45"/>
      <c r="C32" s="45"/>
      <c r="D32" s="45"/>
      <c r="E32" s="45"/>
      <c r="F32" s="45"/>
      <c r="G32" s="45"/>
      <c r="H32" s="45"/>
      <c r="I32" s="45"/>
      <c r="J32" s="45"/>
      <c r="K32" s="45"/>
      <c r="L32" s="45"/>
      <c r="M32" s="45"/>
      <c r="N32" s="45"/>
      <c r="O32" s="45"/>
      <c r="P32" s="45"/>
      <c r="Q32" s="45"/>
      <c r="R32" s="45"/>
      <c r="S32" s="45"/>
      <c r="T32" s="45"/>
      <c r="U32" s="45"/>
      <c r="V32" s="45"/>
    </row>
    <row r="33" ht="22.5" customHeight="1">
      <c r="A33" s="45"/>
      <c r="B33" s="45"/>
      <c r="C33" s="45"/>
      <c r="D33" s="45"/>
      <c r="E33" s="45"/>
      <c r="F33" s="45"/>
      <c r="G33" s="45"/>
      <c r="H33" s="45"/>
      <c r="I33" s="45"/>
      <c r="J33" s="45"/>
      <c r="K33" s="45"/>
      <c r="L33" s="45"/>
      <c r="M33" s="45"/>
      <c r="N33" s="45"/>
      <c r="O33" s="45"/>
      <c r="P33" s="45"/>
      <c r="Q33" s="45"/>
      <c r="R33" s="45"/>
      <c r="S33" s="45"/>
      <c r="T33" s="45"/>
      <c r="U33" s="45"/>
      <c r="V33" s="45"/>
    </row>
    <row r="34" ht="22.5" customHeight="1">
      <c r="A34" s="45"/>
      <c r="B34" s="45"/>
      <c r="C34" s="45"/>
      <c r="D34" s="45"/>
      <c r="E34" s="45"/>
      <c r="F34" s="45"/>
      <c r="G34" s="45"/>
      <c r="H34" s="45"/>
      <c r="I34" s="45"/>
      <c r="J34" s="45"/>
      <c r="K34" s="45"/>
      <c r="L34" s="45"/>
      <c r="M34" s="45"/>
      <c r="N34" s="45"/>
      <c r="O34" s="45"/>
      <c r="P34" s="45"/>
      <c r="Q34" s="45"/>
      <c r="R34" s="45"/>
      <c r="S34" s="45"/>
      <c r="T34" s="45"/>
      <c r="U34" s="45"/>
      <c r="V34" s="45"/>
    </row>
    <row r="35" ht="22.5" customHeight="1">
      <c r="A35" s="45"/>
      <c r="B35" s="45"/>
      <c r="C35" s="45"/>
      <c r="D35" s="45"/>
      <c r="E35" s="45"/>
      <c r="F35" s="45"/>
      <c r="G35" s="45"/>
      <c r="H35" s="45"/>
      <c r="I35" s="45"/>
      <c r="J35" s="45"/>
      <c r="K35" s="45"/>
      <c r="L35" s="45"/>
      <c r="M35" s="45"/>
      <c r="N35" s="45"/>
      <c r="O35" s="45"/>
      <c r="P35" s="45"/>
      <c r="Q35" s="45"/>
      <c r="R35" s="45"/>
      <c r="S35" s="45"/>
      <c r="T35" s="45"/>
      <c r="U35" s="45"/>
      <c r="V35" s="45"/>
    </row>
    <row r="36" ht="22.5" customHeight="1">
      <c r="A36" s="45"/>
      <c r="B36" s="45"/>
      <c r="C36" s="45"/>
      <c r="D36" s="45"/>
      <c r="E36" s="45"/>
      <c r="F36" s="45"/>
      <c r="G36" s="45"/>
      <c r="H36" s="45"/>
      <c r="I36" s="45"/>
      <c r="J36" s="45"/>
      <c r="K36" s="45"/>
      <c r="L36" s="45"/>
      <c r="M36" s="45"/>
      <c r="N36" s="45"/>
      <c r="O36" s="45"/>
      <c r="P36" s="45"/>
      <c r="Q36" s="45"/>
      <c r="R36" s="45"/>
      <c r="S36" s="45"/>
      <c r="T36" s="45"/>
      <c r="U36" s="45"/>
      <c r="V36" s="45"/>
    </row>
    <row r="37" ht="22.5" customHeight="1">
      <c r="A37" s="45"/>
      <c r="B37" s="45"/>
      <c r="C37" s="45"/>
      <c r="D37" s="45"/>
      <c r="E37" s="45"/>
      <c r="F37" s="45"/>
      <c r="G37" s="45"/>
      <c r="H37" s="45"/>
      <c r="I37" s="45"/>
      <c r="J37" s="45"/>
      <c r="K37" s="45"/>
      <c r="L37" s="45"/>
      <c r="M37" s="45"/>
      <c r="N37" s="45"/>
      <c r="O37" s="45"/>
      <c r="P37" s="45"/>
      <c r="Q37" s="45"/>
      <c r="R37" s="45"/>
      <c r="S37" s="45"/>
      <c r="T37" s="45"/>
      <c r="U37" s="45"/>
      <c r="V37" s="45"/>
    </row>
    <row r="38" ht="22.5" customHeight="1">
      <c r="A38" s="45"/>
      <c r="B38" s="45"/>
      <c r="C38" s="45"/>
      <c r="D38" s="45"/>
      <c r="E38" s="45"/>
      <c r="F38" s="45"/>
      <c r="G38" s="45"/>
      <c r="H38" s="45"/>
      <c r="I38" s="45"/>
      <c r="J38" s="45"/>
      <c r="K38" s="45"/>
      <c r="L38" s="45"/>
      <c r="M38" s="45"/>
      <c r="N38" s="45"/>
      <c r="O38" s="45"/>
      <c r="P38" s="45"/>
      <c r="Q38" s="45"/>
      <c r="R38" s="45"/>
      <c r="S38" s="45"/>
      <c r="T38" s="45"/>
      <c r="U38" s="45"/>
      <c r="V38" s="45"/>
    </row>
    <row r="39" ht="22.5" customHeight="1">
      <c r="A39" s="45"/>
      <c r="B39" s="45"/>
      <c r="C39" s="45"/>
      <c r="D39" s="45"/>
      <c r="E39" s="45"/>
      <c r="F39" s="45"/>
      <c r="G39" s="45"/>
      <c r="H39" s="45"/>
      <c r="I39" s="45"/>
      <c r="J39" s="45"/>
      <c r="K39" s="45"/>
      <c r="L39" s="45"/>
      <c r="M39" s="45"/>
      <c r="N39" s="45"/>
      <c r="O39" s="45"/>
      <c r="P39" s="45"/>
      <c r="Q39" s="45"/>
      <c r="R39" s="45"/>
      <c r="S39" s="45"/>
      <c r="T39" s="45"/>
      <c r="U39" s="45"/>
      <c r="V39" s="45"/>
    </row>
    <row r="40" ht="22.5" customHeight="1">
      <c r="A40" s="45"/>
      <c r="B40" s="45"/>
      <c r="C40" s="45"/>
      <c r="D40" s="45"/>
      <c r="E40" s="45"/>
      <c r="F40" s="45"/>
      <c r="G40" s="45"/>
      <c r="H40" s="45"/>
      <c r="I40" s="45"/>
      <c r="J40" s="45"/>
      <c r="K40" s="45"/>
      <c r="L40" s="45"/>
      <c r="M40" s="45"/>
      <c r="N40" s="45"/>
      <c r="O40" s="45"/>
      <c r="P40" s="45"/>
      <c r="Q40" s="45"/>
      <c r="R40" s="45"/>
      <c r="S40" s="45"/>
      <c r="T40" s="45"/>
      <c r="U40" s="45"/>
      <c r="V40" s="45"/>
    </row>
    <row r="41" ht="22.5" customHeight="1">
      <c r="A41" s="45"/>
      <c r="B41" s="45"/>
      <c r="C41" s="45"/>
      <c r="D41" s="45"/>
      <c r="E41" s="45"/>
      <c r="F41" s="45"/>
      <c r="G41" s="45"/>
      <c r="H41" s="45"/>
      <c r="I41" s="45"/>
      <c r="J41" s="45"/>
      <c r="K41" s="45"/>
      <c r="L41" s="45"/>
      <c r="M41" s="45"/>
      <c r="N41" s="45"/>
      <c r="O41" s="45"/>
      <c r="P41" s="45"/>
      <c r="Q41" s="45"/>
      <c r="R41" s="45"/>
      <c r="S41" s="45"/>
      <c r="T41" s="45"/>
      <c r="U41" s="45"/>
      <c r="V41" s="45"/>
    </row>
    <row r="42" ht="22.5" customHeight="1">
      <c r="A42" s="45"/>
      <c r="B42" s="45"/>
      <c r="C42" s="45"/>
      <c r="D42" s="45"/>
      <c r="E42" s="45"/>
      <c r="F42" s="45"/>
      <c r="G42" s="45"/>
      <c r="H42" s="45"/>
      <c r="I42" s="45"/>
      <c r="J42" s="45"/>
      <c r="K42" s="45"/>
      <c r="L42" s="45"/>
      <c r="M42" s="45"/>
      <c r="N42" s="45"/>
      <c r="O42" s="45"/>
      <c r="P42" s="45"/>
      <c r="Q42" s="45"/>
      <c r="R42" s="45"/>
      <c r="S42" s="45"/>
      <c r="T42" s="45"/>
      <c r="U42" s="45"/>
      <c r="V42" s="45"/>
    </row>
    <row r="43" ht="22.5" customHeight="1">
      <c r="A43" s="45"/>
      <c r="B43" s="45"/>
      <c r="C43" s="45"/>
      <c r="D43" s="45"/>
      <c r="E43" s="45"/>
      <c r="F43" s="45"/>
      <c r="G43" s="45"/>
      <c r="H43" s="45"/>
      <c r="I43" s="45"/>
      <c r="J43" s="45"/>
      <c r="K43" s="45"/>
      <c r="L43" s="45"/>
      <c r="M43" s="45"/>
      <c r="N43" s="45"/>
      <c r="O43" s="45"/>
      <c r="P43" s="45"/>
      <c r="Q43" s="45"/>
      <c r="R43" s="45"/>
      <c r="S43" s="45"/>
      <c r="T43" s="45"/>
      <c r="U43" s="45"/>
      <c r="V43" s="45"/>
    </row>
    <row r="44" ht="22.5" customHeight="1">
      <c r="A44" s="45"/>
      <c r="B44" s="45"/>
      <c r="C44" s="45"/>
      <c r="D44" s="45"/>
      <c r="E44" s="45"/>
      <c r="F44" s="45"/>
      <c r="G44" s="45"/>
      <c r="H44" s="45"/>
      <c r="I44" s="45"/>
      <c r="J44" s="45"/>
      <c r="K44" s="45"/>
      <c r="L44" s="45"/>
      <c r="M44" s="45"/>
      <c r="N44" s="45"/>
      <c r="O44" s="45"/>
      <c r="P44" s="45"/>
      <c r="Q44" s="45"/>
      <c r="R44" s="45"/>
      <c r="S44" s="45"/>
      <c r="T44" s="45"/>
      <c r="U44" s="45"/>
      <c r="V44" s="45"/>
    </row>
    <row r="45" ht="22.5" customHeight="1">
      <c r="A45" s="45"/>
      <c r="B45" s="45"/>
      <c r="C45" s="45"/>
      <c r="D45" s="45"/>
      <c r="E45" s="45"/>
      <c r="F45" s="45"/>
      <c r="G45" s="45"/>
      <c r="H45" s="45"/>
      <c r="I45" s="45"/>
      <c r="J45" s="45"/>
      <c r="K45" s="45"/>
      <c r="L45" s="45"/>
      <c r="M45" s="45"/>
      <c r="N45" s="45"/>
      <c r="O45" s="45"/>
      <c r="P45" s="45"/>
      <c r="Q45" s="45"/>
      <c r="R45" s="45"/>
      <c r="S45" s="45"/>
      <c r="T45" s="45"/>
      <c r="U45" s="45"/>
      <c r="V45" s="45"/>
    </row>
    <row r="46" ht="22.5" customHeight="1">
      <c r="A46" s="45"/>
      <c r="B46" s="45"/>
      <c r="C46" s="45"/>
      <c r="D46" s="45"/>
      <c r="E46" s="45"/>
      <c r="F46" s="45"/>
      <c r="G46" s="45"/>
      <c r="H46" s="45"/>
      <c r="I46" s="45"/>
      <c r="J46" s="45"/>
      <c r="K46" s="45"/>
      <c r="L46" s="45"/>
      <c r="M46" s="45"/>
      <c r="N46" s="45"/>
      <c r="O46" s="45"/>
      <c r="P46" s="45"/>
      <c r="Q46" s="45"/>
      <c r="R46" s="45"/>
      <c r="S46" s="45"/>
      <c r="T46" s="45"/>
      <c r="U46" s="45"/>
      <c r="V46" s="45"/>
    </row>
    <row r="47" ht="22.5" customHeight="1">
      <c r="A47" s="45"/>
      <c r="B47" s="45"/>
      <c r="C47" s="45"/>
      <c r="D47" s="45"/>
      <c r="E47" s="45"/>
      <c r="F47" s="45"/>
      <c r="G47" s="45"/>
      <c r="H47" s="45"/>
      <c r="I47" s="45"/>
      <c r="J47" s="45"/>
      <c r="K47" s="45"/>
      <c r="L47" s="45"/>
      <c r="M47" s="45"/>
      <c r="N47" s="45"/>
      <c r="O47" s="45"/>
      <c r="P47" s="45"/>
      <c r="Q47" s="45"/>
      <c r="R47" s="45"/>
      <c r="S47" s="45"/>
      <c r="T47" s="45"/>
      <c r="U47" s="45"/>
      <c r="V47" s="45"/>
    </row>
    <row r="48" ht="22.5" customHeight="1">
      <c r="A48" s="45"/>
      <c r="B48" s="45"/>
      <c r="C48" s="45"/>
      <c r="D48" s="45"/>
      <c r="E48" s="45"/>
      <c r="F48" s="45"/>
      <c r="G48" s="45"/>
      <c r="H48" s="45"/>
      <c r="I48" s="45"/>
      <c r="J48" s="45"/>
      <c r="K48" s="45"/>
      <c r="L48" s="45"/>
      <c r="M48" s="45"/>
      <c r="N48" s="45"/>
      <c r="O48" s="45"/>
      <c r="P48" s="45"/>
      <c r="Q48" s="45"/>
      <c r="R48" s="45"/>
      <c r="S48" s="45"/>
      <c r="T48" s="45"/>
      <c r="U48" s="45"/>
      <c r="V48" s="45"/>
    </row>
    <row r="49" ht="22.5" customHeight="1">
      <c r="A49" s="45"/>
      <c r="B49" s="45"/>
      <c r="C49" s="45"/>
      <c r="D49" s="45"/>
      <c r="E49" s="45"/>
      <c r="F49" s="45"/>
      <c r="G49" s="45"/>
      <c r="H49" s="45"/>
      <c r="I49" s="45"/>
      <c r="J49" s="45"/>
      <c r="K49" s="45"/>
      <c r="L49" s="45"/>
      <c r="M49" s="45"/>
      <c r="N49" s="45"/>
      <c r="O49" s="45"/>
      <c r="P49" s="45"/>
      <c r="Q49" s="45"/>
      <c r="R49" s="45"/>
      <c r="S49" s="45"/>
      <c r="T49" s="45"/>
      <c r="U49" s="45"/>
      <c r="V49" s="45"/>
    </row>
    <row r="50" ht="22.5" customHeight="1">
      <c r="A50" s="45"/>
      <c r="B50" s="45"/>
      <c r="C50" s="45"/>
      <c r="D50" s="45"/>
      <c r="E50" s="45"/>
      <c r="F50" s="45"/>
      <c r="G50" s="45"/>
      <c r="H50" s="45"/>
      <c r="I50" s="45"/>
      <c r="J50" s="45"/>
      <c r="K50" s="45"/>
      <c r="L50" s="45"/>
      <c r="M50" s="45"/>
      <c r="N50" s="45"/>
      <c r="O50" s="45"/>
      <c r="P50" s="45"/>
      <c r="Q50" s="45"/>
      <c r="R50" s="45"/>
      <c r="S50" s="45"/>
      <c r="T50" s="45"/>
      <c r="U50" s="45"/>
      <c r="V50" s="45"/>
    </row>
    <row r="51" ht="22.5" customHeight="1">
      <c r="A51" s="45"/>
      <c r="B51" s="45"/>
      <c r="C51" s="45"/>
      <c r="D51" s="45"/>
      <c r="E51" s="45"/>
      <c r="F51" s="45"/>
      <c r="G51" s="45"/>
      <c r="H51" s="45"/>
      <c r="I51" s="45"/>
      <c r="J51" s="45"/>
      <c r="K51" s="45"/>
      <c r="L51" s="45"/>
      <c r="M51" s="45"/>
      <c r="N51" s="45"/>
      <c r="O51" s="45"/>
      <c r="P51" s="45"/>
      <c r="Q51" s="45"/>
      <c r="R51" s="45"/>
      <c r="S51" s="45"/>
      <c r="T51" s="45"/>
      <c r="U51" s="45"/>
      <c r="V51" s="45"/>
    </row>
    <row r="52" ht="22.5" customHeight="1">
      <c r="A52" s="45"/>
      <c r="B52" s="45"/>
      <c r="C52" s="45"/>
      <c r="D52" s="45"/>
      <c r="E52" s="45"/>
      <c r="F52" s="45"/>
      <c r="G52" s="45"/>
      <c r="H52" s="45"/>
      <c r="I52" s="45"/>
      <c r="J52" s="45"/>
      <c r="K52" s="45"/>
      <c r="L52" s="45"/>
      <c r="M52" s="45"/>
      <c r="N52" s="45"/>
      <c r="O52" s="45"/>
      <c r="P52" s="45"/>
      <c r="Q52" s="45"/>
      <c r="R52" s="45"/>
      <c r="S52" s="45"/>
      <c r="T52" s="45"/>
      <c r="U52" s="45"/>
      <c r="V52" s="45"/>
    </row>
    <row r="53" ht="22.5" customHeight="1">
      <c r="A53" s="45"/>
      <c r="B53" s="45"/>
      <c r="C53" s="45"/>
      <c r="D53" s="45"/>
      <c r="E53" s="45"/>
      <c r="F53" s="45"/>
      <c r="G53" s="45"/>
      <c r="H53" s="45"/>
      <c r="I53" s="45"/>
      <c r="J53" s="45"/>
      <c r="K53" s="45"/>
      <c r="L53" s="45"/>
      <c r="M53" s="45"/>
      <c r="N53" s="45"/>
      <c r="O53" s="45"/>
      <c r="P53" s="45"/>
      <c r="Q53" s="45"/>
      <c r="R53" s="45"/>
      <c r="S53" s="45"/>
      <c r="T53" s="45"/>
      <c r="U53" s="45"/>
      <c r="V53" s="45"/>
    </row>
    <row r="54" ht="22.5" customHeight="1">
      <c r="A54" s="45"/>
      <c r="B54" s="45"/>
      <c r="C54" s="45"/>
      <c r="D54" s="45"/>
      <c r="E54" s="45"/>
      <c r="F54" s="45"/>
      <c r="G54" s="45"/>
      <c r="H54" s="45"/>
      <c r="I54" s="45"/>
      <c r="J54" s="45"/>
      <c r="K54" s="45"/>
      <c r="L54" s="45"/>
      <c r="M54" s="45"/>
      <c r="N54" s="45"/>
      <c r="O54" s="45"/>
      <c r="P54" s="45"/>
      <c r="Q54" s="45"/>
      <c r="R54" s="45"/>
      <c r="S54" s="45"/>
      <c r="T54" s="45"/>
      <c r="U54" s="45"/>
      <c r="V54" s="45"/>
    </row>
    <row r="55" ht="22.5" customHeight="1">
      <c r="A55" s="45"/>
      <c r="B55" s="45"/>
      <c r="C55" s="45"/>
      <c r="D55" s="45"/>
      <c r="E55" s="45"/>
      <c r="F55" s="45"/>
      <c r="G55" s="45"/>
      <c r="H55" s="45"/>
      <c r="I55" s="45"/>
      <c r="J55" s="45"/>
      <c r="K55" s="45"/>
      <c r="L55" s="45"/>
      <c r="M55" s="45"/>
      <c r="N55" s="45"/>
      <c r="O55" s="45"/>
      <c r="P55" s="45"/>
      <c r="Q55" s="45"/>
      <c r="R55" s="45"/>
      <c r="S55" s="45"/>
      <c r="T55" s="45"/>
      <c r="U55" s="45"/>
      <c r="V55" s="45"/>
    </row>
    <row r="56" ht="22.5" customHeight="1">
      <c r="A56" s="45"/>
      <c r="B56" s="45"/>
      <c r="C56" s="45"/>
      <c r="D56" s="45"/>
      <c r="E56" s="45"/>
      <c r="F56" s="45"/>
      <c r="G56" s="45"/>
      <c r="H56" s="45"/>
      <c r="I56" s="45"/>
      <c r="J56" s="45"/>
      <c r="K56" s="45"/>
      <c r="L56" s="45"/>
      <c r="M56" s="45"/>
      <c r="N56" s="45"/>
      <c r="O56" s="45"/>
      <c r="P56" s="45"/>
      <c r="Q56" s="45"/>
      <c r="R56" s="45"/>
      <c r="S56" s="45"/>
      <c r="T56" s="45"/>
      <c r="U56" s="45"/>
      <c r="V56" s="45"/>
    </row>
    <row r="57" ht="22.5" customHeight="1">
      <c r="A57" s="45"/>
      <c r="B57" s="45"/>
      <c r="C57" s="45"/>
      <c r="D57" s="45"/>
      <c r="E57" s="45"/>
      <c r="F57" s="45"/>
      <c r="G57" s="45"/>
      <c r="H57" s="45"/>
      <c r="I57" s="45"/>
      <c r="J57" s="45"/>
      <c r="K57" s="45"/>
      <c r="L57" s="45"/>
      <c r="M57" s="45"/>
      <c r="N57" s="45"/>
      <c r="O57" s="45"/>
      <c r="P57" s="45"/>
      <c r="Q57" s="45"/>
      <c r="R57" s="45"/>
      <c r="S57" s="45"/>
      <c r="T57" s="45"/>
      <c r="U57" s="45"/>
      <c r="V57" s="45"/>
    </row>
    <row r="58" ht="22.5" customHeight="1">
      <c r="A58" s="45"/>
      <c r="B58" s="45"/>
      <c r="C58" s="45"/>
      <c r="D58" s="45"/>
      <c r="E58" s="45"/>
      <c r="F58" s="45"/>
      <c r="G58" s="45"/>
      <c r="H58" s="45"/>
      <c r="I58" s="45"/>
      <c r="J58" s="45"/>
      <c r="K58" s="45"/>
      <c r="L58" s="45"/>
      <c r="M58" s="45"/>
      <c r="N58" s="45"/>
      <c r="O58" s="45"/>
      <c r="P58" s="45"/>
      <c r="Q58" s="45"/>
      <c r="R58" s="45"/>
      <c r="S58" s="45"/>
      <c r="T58" s="45"/>
      <c r="U58" s="45"/>
      <c r="V58" s="45"/>
    </row>
    <row r="59" ht="22.5" customHeight="1">
      <c r="A59" s="45"/>
      <c r="B59" s="45"/>
      <c r="C59" s="45"/>
      <c r="D59" s="45"/>
      <c r="E59" s="45"/>
      <c r="F59" s="45"/>
      <c r="G59" s="45"/>
      <c r="H59" s="45"/>
      <c r="I59" s="45"/>
      <c r="J59" s="45"/>
      <c r="K59" s="45"/>
      <c r="L59" s="45"/>
      <c r="M59" s="45"/>
      <c r="N59" s="45"/>
      <c r="O59" s="45"/>
      <c r="P59" s="45"/>
      <c r="Q59" s="45"/>
      <c r="R59" s="45"/>
      <c r="S59" s="45"/>
      <c r="T59" s="45"/>
      <c r="U59" s="45"/>
      <c r="V59" s="45"/>
    </row>
    <row r="60" ht="22.5" customHeight="1">
      <c r="A60" s="45"/>
      <c r="B60" s="45"/>
      <c r="C60" s="45"/>
      <c r="D60" s="45"/>
      <c r="E60" s="45"/>
      <c r="F60" s="45"/>
      <c r="G60" s="45"/>
      <c r="H60" s="45"/>
      <c r="I60" s="45"/>
      <c r="J60" s="45"/>
      <c r="K60" s="45"/>
      <c r="L60" s="45"/>
      <c r="M60" s="45"/>
      <c r="N60" s="45"/>
      <c r="O60" s="45"/>
      <c r="P60" s="45"/>
      <c r="Q60" s="45"/>
      <c r="R60" s="45"/>
      <c r="S60" s="45"/>
      <c r="T60" s="45"/>
      <c r="U60" s="45"/>
      <c r="V60" s="45"/>
    </row>
    <row r="61" ht="22.5" customHeight="1">
      <c r="A61" s="45"/>
      <c r="B61" s="45"/>
      <c r="C61" s="45"/>
      <c r="D61" s="45"/>
      <c r="E61" s="45"/>
      <c r="F61" s="45"/>
      <c r="G61" s="45"/>
      <c r="H61" s="45"/>
      <c r="I61" s="45"/>
      <c r="J61" s="45"/>
      <c r="K61" s="45"/>
      <c r="L61" s="45"/>
      <c r="M61" s="45"/>
      <c r="N61" s="45"/>
      <c r="O61" s="45"/>
      <c r="P61" s="45"/>
      <c r="Q61" s="45"/>
      <c r="R61" s="45"/>
      <c r="S61" s="45"/>
      <c r="T61" s="45"/>
      <c r="U61" s="45"/>
      <c r="V61" s="45"/>
    </row>
    <row r="62" ht="22.5" customHeight="1">
      <c r="A62" s="45"/>
      <c r="B62" s="45"/>
      <c r="C62" s="45"/>
      <c r="D62" s="45"/>
      <c r="E62" s="45"/>
      <c r="F62" s="45"/>
      <c r="G62" s="45"/>
      <c r="H62" s="45"/>
      <c r="I62" s="45"/>
      <c r="J62" s="45"/>
      <c r="K62" s="45"/>
      <c r="L62" s="45"/>
      <c r="M62" s="45"/>
      <c r="N62" s="45"/>
      <c r="O62" s="45"/>
      <c r="P62" s="45"/>
      <c r="Q62" s="45"/>
      <c r="R62" s="45"/>
      <c r="S62" s="45"/>
      <c r="T62" s="45"/>
      <c r="U62" s="45"/>
      <c r="V62" s="45"/>
    </row>
    <row r="63" ht="22.5" customHeight="1">
      <c r="A63" s="45"/>
      <c r="B63" s="45"/>
      <c r="C63" s="45"/>
      <c r="D63" s="45"/>
      <c r="E63" s="45"/>
      <c r="F63" s="45"/>
      <c r="G63" s="45"/>
      <c r="H63" s="45"/>
      <c r="I63" s="45"/>
      <c r="J63" s="45"/>
      <c r="K63" s="45"/>
      <c r="L63" s="45"/>
      <c r="M63" s="45"/>
      <c r="N63" s="45"/>
      <c r="O63" s="45"/>
      <c r="P63" s="45"/>
      <c r="Q63" s="45"/>
      <c r="R63" s="45"/>
      <c r="S63" s="45"/>
      <c r="T63" s="45"/>
      <c r="U63" s="45"/>
      <c r="V63" s="45"/>
    </row>
    <row r="64" ht="22.5" customHeight="1">
      <c r="A64" s="45"/>
      <c r="B64" s="45"/>
      <c r="C64" s="45"/>
      <c r="D64" s="45"/>
      <c r="E64" s="45"/>
      <c r="F64" s="45"/>
      <c r="G64" s="45"/>
      <c r="H64" s="45"/>
      <c r="I64" s="45"/>
      <c r="J64" s="45"/>
      <c r="K64" s="45"/>
      <c r="L64" s="45"/>
      <c r="M64" s="45"/>
      <c r="N64" s="45"/>
      <c r="O64" s="45"/>
      <c r="P64" s="45"/>
      <c r="Q64" s="45"/>
      <c r="R64" s="45"/>
      <c r="S64" s="45"/>
      <c r="T64" s="45"/>
      <c r="U64" s="45"/>
      <c r="V64" s="45"/>
    </row>
    <row r="65" ht="22.5" customHeight="1">
      <c r="A65" s="45"/>
      <c r="B65" s="45"/>
      <c r="C65" s="45"/>
      <c r="D65" s="45"/>
      <c r="E65" s="45"/>
      <c r="F65" s="45"/>
      <c r="G65" s="45"/>
      <c r="H65" s="45"/>
      <c r="I65" s="45"/>
      <c r="J65" s="45"/>
      <c r="K65" s="45"/>
      <c r="L65" s="45"/>
      <c r="M65" s="45"/>
      <c r="N65" s="45"/>
      <c r="O65" s="45"/>
      <c r="P65" s="45"/>
      <c r="Q65" s="45"/>
      <c r="R65" s="45"/>
      <c r="S65" s="45"/>
      <c r="T65" s="45"/>
      <c r="U65" s="45"/>
      <c r="V65" s="45"/>
    </row>
    <row r="66" ht="22.5" customHeight="1">
      <c r="A66" s="45"/>
      <c r="B66" s="45"/>
      <c r="C66" s="45"/>
      <c r="D66" s="45"/>
      <c r="E66" s="45"/>
      <c r="F66" s="45"/>
      <c r="G66" s="45"/>
      <c r="H66" s="45"/>
      <c r="I66" s="45"/>
      <c r="J66" s="45"/>
      <c r="K66" s="45"/>
      <c r="L66" s="45"/>
      <c r="M66" s="45"/>
      <c r="N66" s="45"/>
      <c r="O66" s="45"/>
      <c r="P66" s="45"/>
      <c r="Q66" s="45"/>
      <c r="R66" s="45"/>
      <c r="S66" s="45"/>
      <c r="T66" s="45"/>
      <c r="U66" s="45"/>
      <c r="V66" s="45"/>
    </row>
    <row r="67" ht="22.5" customHeight="1">
      <c r="A67" s="45"/>
      <c r="B67" s="45"/>
      <c r="C67" s="45"/>
      <c r="D67" s="45"/>
      <c r="E67" s="45"/>
      <c r="F67" s="45"/>
      <c r="G67" s="45"/>
      <c r="H67" s="45"/>
      <c r="I67" s="45"/>
      <c r="J67" s="45"/>
      <c r="K67" s="45"/>
      <c r="L67" s="45"/>
      <c r="M67" s="45"/>
      <c r="N67" s="45"/>
      <c r="O67" s="45"/>
      <c r="P67" s="45"/>
      <c r="Q67" s="45"/>
      <c r="R67" s="45"/>
      <c r="S67" s="45"/>
      <c r="T67" s="45"/>
      <c r="U67" s="45"/>
      <c r="V67" s="45"/>
    </row>
    <row r="68" ht="22.5" customHeight="1">
      <c r="A68" s="45"/>
      <c r="B68" s="45"/>
      <c r="C68" s="45"/>
      <c r="D68" s="45"/>
      <c r="E68" s="45"/>
      <c r="F68" s="45"/>
      <c r="G68" s="45"/>
      <c r="H68" s="45"/>
      <c r="I68" s="45"/>
      <c r="J68" s="45"/>
      <c r="K68" s="45"/>
      <c r="L68" s="45"/>
      <c r="M68" s="45"/>
      <c r="N68" s="45"/>
      <c r="O68" s="45"/>
      <c r="P68" s="45"/>
      <c r="Q68" s="45"/>
      <c r="R68" s="45"/>
      <c r="S68" s="45"/>
      <c r="T68" s="45"/>
      <c r="U68" s="45"/>
      <c r="V68" s="45"/>
    </row>
    <row r="69" ht="22.5" customHeight="1">
      <c r="A69" s="45"/>
      <c r="B69" s="45"/>
      <c r="C69" s="45"/>
      <c r="D69" s="45"/>
      <c r="E69" s="45"/>
      <c r="F69" s="45"/>
      <c r="G69" s="45"/>
      <c r="H69" s="45"/>
      <c r="I69" s="45"/>
      <c r="J69" s="45"/>
      <c r="K69" s="45"/>
      <c r="L69" s="45"/>
      <c r="M69" s="45"/>
      <c r="N69" s="45"/>
      <c r="O69" s="45"/>
      <c r="P69" s="45"/>
      <c r="Q69" s="45"/>
      <c r="R69" s="45"/>
      <c r="S69" s="45"/>
      <c r="T69" s="45"/>
      <c r="U69" s="45"/>
      <c r="V69" s="45"/>
    </row>
    <row r="70" ht="22.5" customHeight="1">
      <c r="A70" s="45"/>
      <c r="B70" s="45"/>
      <c r="C70" s="45"/>
      <c r="D70" s="45"/>
      <c r="E70" s="45"/>
      <c r="F70" s="45"/>
      <c r="G70" s="45"/>
      <c r="H70" s="45"/>
      <c r="I70" s="45"/>
      <c r="J70" s="45"/>
      <c r="K70" s="45"/>
      <c r="L70" s="45"/>
      <c r="M70" s="45"/>
      <c r="N70" s="45"/>
      <c r="O70" s="45"/>
      <c r="P70" s="45"/>
      <c r="Q70" s="45"/>
      <c r="R70" s="45"/>
      <c r="S70" s="45"/>
      <c r="T70" s="45"/>
      <c r="U70" s="45"/>
      <c r="V70" s="45"/>
    </row>
    <row r="71" ht="22.5" customHeight="1">
      <c r="A71" s="45"/>
      <c r="B71" s="45"/>
      <c r="C71" s="45"/>
      <c r="D71" s="45"/>
      <c r="E71" s="45"/>
      <c r="F71" s="45"/>
      <c r="G71" s="45"/>
      <c r="H71" s="45"/>
      <c r="I71" s="45"/>
      <c r="J71" s="45"/>
      <c r="K71" s="45"/>
      <c r="L71" s="45"/>
      <c r="M71" s="45"/>
      <c r="N71" s="45"/>
      <c r="O71" s="45"/>
      <c r="P71" s="45"/>
      <c r="Q71" s="45"/>
      <c r="R71" s="45"/>
      <c r="S71" s="45"/>
      <c r="T71" s="45"/>
      <c r="U71" s="45"/>
      <c r="V71" s="45"/>
    </row>
    <row r="72" ht="22.5" customHeight="1">
      <c r="A72" s="45"/>
      <c r="B72" s="45"/>
      <c r="C72" s="45"/>
      <c r="D72" s="45"/>
      <c r="E72" s="45"/>
      <c r="F72" s="45"/>
      <c r="G72" s="45"/>
      <c r="H72" s="45"/>
      <c r="I72" s="45"/>
      <c r="J72" s="45"/>
      <c r="K72" s="45"/>
      <c r="L72" s="45"/>
      <c r="M72" s="45"/>
      <c r="N72" s="45"/>
      <c r="O72" s="45"/>
      <c r="P72" s="45"/>
      <c r="Q72" s="45"/>
      <c r="R72" s="45"/>
      <c r="S72" s="45"/>
      <c r="T72" s="45"/>
      <c r="U72" s="45"/>
      <c r="V72" s="45"/>
    </row>
    <row r="73" ht="22.5" customHeight="1">
      <c r="A73" s="45"/>
      <c r="B73" s="45"/>
      <c r="C73" s="45"/>
      <c r="D73" s="45"/>
      <c r="E73" s="45"/>
      <c r="F73" s="45"/>
      <c r="G73" s="45"/>
      <c r="H73" s="45"/>
      <c r="I73" s="45"/>
      <c r="J73" s="45"/>
      <c r="K73" s="45"/>
      <c r="L73" s="45"/>
      <c r="M73" s="45"/>
      <c r="N73" s="45"/>
      <c r="O73" s="45"/>
      <c r="P73" s="45"/>
      <c r="Q73" s="45"/>
      <c r="R73" s="45"/>
      <c r="S73" s="45"/>
      <c r="T73" s="45"/>
      <c r="U73" s="45"/>
      <c r="V73" s="45"/>
    </row>
    <row r="74" ht="22.5" customHeight="1">
      <c r="A74" s="45"/>
      <c r="B74" s="45"/>
      <c r="C74" s="45"/>
      <c r="D74" s="45"/>
      <c r="E74" s="45"/>
      <c r="F74" s="45"/>
      <c r="G74" s="45"/>
      <c r="H74" s="45"/>
      <c r="I74" s="45"/>
      <c r="J74" s="45"/>
      <c r="K74" s="45"/>
      <c r="L74" s="45"/>
      <c r="M74" s="45"/>
      <c r="N74" s="45"/>
      <c r="O74" s="45"/>
      <c r="P74" s="45"/>
      <c r="Q74" s="45"/>
      <c r="R74" s="45"/>
      <c r="S74" s="45"/>
      <c r="T74" s="45"/>
      <c r="U74" s="45"/>
      <c r="V74" s="45"/>
    </row>
    <row r="75" ht="22.5" customHeight="1">
      <c r="A75" s="45"/>
      <c r="B75" s="45"/>
      <c r="C75" s="45"/>
      <c r="D75" s="45"/>
      <c r="E75" s="45"/>
      <c r="F75" s="45"/>
      <c r="G75" s="45"/>
      <c r="H75" s="45"/>
      <c r="I75" s="45"/>
      <c r="J75" s="45"/>
      <c r="K75" s="45"/>
      <c r="L75" s="45"/>
      <c r="M75" s="45"/>
      <c r="N75" s="45"/>
      <c r="O75" s="45"/>
      <c r="P75" s="45"/>
      <c r="Q75" s="45"/>
      <c r="R75" s="45"/>
      <c r="S75" s="45"/>
      <c r="T75" s="45"/>
      <c r="U75" s="45"/>
      <c r="V75" s="45"/>
    </row>
    <row r="76" ht="22.5" customHeight="1">
      <c r="A76" s="45"/>
      <c r="B76" s="45"/>
      <c r="C76" s="45"/>
      <c r="D76" s="45"/>
      <c r="E76" s="45"/>
      <c r="F76" s="45"/>
      <c r="G76" s="45"/>
      <c r="H76" s="45"/>
      <c r="I76" s="45"/>
      <c r="J76" s="45"/>
      <c r="K76" s="45"/>
      <c r="L76" s="45"/>
      <c r="M76" s="45"/>
      <c r="N76" s="45"/>
      <c r="O76" s="45"/>
      <c r="P76" s="45"/>
      <c r="Q76" s="45"/>
      <c r="R76" s="45"/>
      <c r="S76" s="45"/>
      <c r="T76" s="45"/>
      <c r="U76" s="45"/>
      <c r="V76" s="45"/>
    </row>
    <row r="77" ht="22.5" customHeight="1">
      <c r="A77" s="45"/>
      <c r="B77" s="45"/>
      <c r="C77" s="45"/>
      <c r="D77" s="45"/>
      <c r="E77" s="45"/>
      <c r="F77" s="45"/>
      <c r="G77" s="45"/>
      <c r="H77" s="45"/>
      <c r="I77" s="45"/>
      <c r="J77" s="45"/>
      <c r="K77" s="45"/>
      <c r="L77" s="45"/>
      <c r="M77" s="45"/>
      <c r="N77" s="45"/>
      <c r="O77" s="45"/>
      <c r="P77" s="45"/>
      <c r="Q77" s="45"/>
      <c r="R77" s="45"/>
      <c r="S77" s="45"/>
      <c r="T77" s="45"/>
      <c r="U77" s="45"/>
      <c r="V77" s="45"/>
    </row>
    <row r="78" ht="22.5" customHeight="1">
      <c r="A78" s="45"/>
      <c r="B78" s="45"/>
      <c r="C78" s="45"/>
      <c r="D78" s="45"/>
      <c r="E78" s="45"/>
      <c r="F78" s="45"/>
      <c r="G78" s="45"/>
      <c r="H78" s="45"/>
      <c r="I78" s="45"/>
      <c r="J78" s="45"/>
      <c r="K78" s="45"/>
      <c r="L78" s="45"/>
      <c r="M78" s="45"/>
      <c r="N78" s="45"/>
      <c r="O78" s="45"/>
      <c r="P78" s="45"/>
      <c r="Q78" s="45"/>
      <c r="R78" s="45"/>
      <c r="S78" s="45"/>
      <c r="T78" s="45"/>
      <c r="U78" s="45"/>
      <c r="V78" s="45"/>
    </row>
    <row r="79" ht="22.5" customHeight="1">
      <c r="A79" s="45"/>
      <c r="B79" s="45"/>
      <c r="C79" s="45"/>
      <c r="D79" s="45"/>
      <c r="E79" s="45"/>
      <c r="F79" s="45"/>
      <c r="G79" s="45"/>
      <c r="H79" s="45"/>
      <c r="I79" s="45"/>
      <c r="J79" s="45"/>
      <c r="K79" s="45"/>
      <c r="L79" s="45"/>
      <c r="M79" s="45"/>
      <c r="N79" s="45"/>
      <c r="O79" s="45"/>
      <c r="P79" s="45"/>
      <c r="Q79" s="45"/>
      <c r="R79" s="45"/>
      <c r="S79" s="45"/>
      <c r="T79" s="45"/>
      <c r="U79" s="45"/>
      <c r="V79" s="45"/>
    </row>
    <row r="80" ht="22.5" customHeight="1">
      <c r="A80" s="45"/>
      <c r="B80" s="45"/>
      <c r="C80" s="45"/>
      <c r="D80" s="45"/>
      <c r="E80" s="45"/>
      <c r="F80" s="45"/>
      <c r="G80" s="45"/>
      <c r="H80" s="45"/>
      <c r="I80" s="45"/>
      <c r="J80" s="45"/>
      <c r="K80" s="45"/>
      <c r="L80" s="45"/>
      <c r="M80" s="45"/>
      <c r="N80" s="45"/>
      <c r="O80" s="45"/>
      <c r="P80" s="45"/>
      <c r="Q80" s="45"/>
      <c r="R80" s="45"/>
      <c r="S80" s="45"/>
      <c r="T80" s="45"/>
      <c r="U80" s="45"/>
      <c r="V80" s="45"/>
    </row>
    <row r="81" ht="22.5" customHeight="1">
      <c r="A81" s="45"/>
      <c r="B81" s="45"/>
      <c r="C81" s="45"/>
      <c r="D81" s="45"/>
      <c r="E81" s="45"/>
      <c r="F81" s="45"/>
      <c r="G81" s="45"/>
      <c r="H81" s="45"/>
      <c r="I81" s="45"/>
      <c r="J81" s="45"/>
      <c r="K81" s="45"/>
      <c r="L81" s="45"/>
      <c r="M81" s="45"/>
      <c r="N81" s="45"/>
      <c r="O81" s="45"/>
      <c r="P81" s="45"/>
      <c r="Q81" s="45"/>
      <c r="R81" s="45"/>
      <c r="S81" s="45"/>
      <c r="T81" s="45"/>
      <c r="U81" s="45"/>
      <c r="V81" s="45"/>
    </row>
    <row r="82" ht="22.5" customHeight="1">
      <c r="A82" s="45"/>
      <c r="B82" s="45"/>
      <c r="C82" s="45"/>
      <c r="D82" s="45"/>
      <c r="E82" s="45"/>
      <c r="F82" s="45"/>
      <c r="G82" s="45"/>
      <c r="H82" s="45"/>
      <c r="I82" s="45"/>
      <c r="J82" s="45"/>
      <c r="K82" s="45"/>
      <c r="L82" s="45"/>
      <c r="M82" s="45"/>
      <c r="N82" s="45"/>
      <c r="O82" s="45"/>
      <c r="P82" s="45"/>
      <c r="Q82" s="45"/>
      <c r="R82" s="45"/>
      <c r="S82" s="45"/>
      <c r="T82" s="45"/>
      <c r="U82" s="45"/>
      <c r="V82" s="45"/>
    </row>
    <row r="83" ht="22.5" customHeight="1">
      <c r="A83" s="45"/>
      <c r="B83" s="45"/>
      <c r="C83" s="45"/>
      <c r="D83" s="45"/>
      <c r="E83" s="45"/>
      <c r="F83" s="45"/>
      <c r="G83" s="45"/>
      <c r="H83" s="45"/>
      <c r="I83" s="45"/>
      <c r="J83" s="45"/>
      <c r="K83" s="45"/>
      <c r="L83" s="45"/>
      <c r="M83" s="45"/>
      <c r="N83" s="45"/>
      <c r="O83" s="45"/>
      <c r="P83" s="45"/>
      <c r="Q83" s="45"/>
      <c r="R83" s="45"/>
      <c r="S83" s="45"/>
      <c r="T83" s="45"/>
      <c r="U83" s="45"/>
      <c r="V83" s="45"/>
    </row>
    <row r="84" ht="22.5" customHeight="1">
      <c r="A84" s="45"/>
      <c r="B84" s="45"/>
      <c r="C84" s="45"/>
      <c r="D84" s="45"/>
      <c r="E84" s="45"/>
      <c r="F84" s="45"/>
      <c r="G84" s="45"/>
      <c r="H84" s="45"/>
      <c r="I84" s="45"/>
      <c r="J84" s="45"/>
      <c r="K84" s="45"/>
      <c r="L84" s="45"/>
      <c r="M84" s="45"/>
      <c r="N84" s="45"/>
      <c r="O84" s="45"/>
      <c r="P84" s="45"/>
      <c r="Q84" s="45"/>
      <c r="R84" s="45"/>
      <c r="S84" s="45"/>
      <c r="T84" s="45"/>
      <c r="U84" s="45"/>
      <c r="V84" s="45"/>
    </row>
    <row r="85" ht="22.5" customHeight="1">
      <c r="A85" s="45"/>
      <c r="B85" s="45"/>
      <c r="C85" s="45"/>
      <c r="D85" s="45"/>
      <c r="E85" s="45"/>
      <c r="F85" s="45"/>
      <c r="G85" s="45"/>
      <c r="H85" s="45"/>
      <c r="I85" s="45"/>
      <c r="J85" s="45"/>
      <c r="K85" s="45"/>
      <c r="L85" s="45"/>
      <c r="M85" s="45"/>
      <c r="N85" s="45"/>
      <c r="O85" s="45"/>
      <c r="P85" s="45"/>
      <c r="Q85" s="45"/>
      <c r="R85" s="45"/>
      <c r="S85" s="45"/>
      <c r="T85" s="45"/>
      <c r="U85" s="45"/>
      <c r="V85" s="45"/>
    </row>
    <row r="86" ht="22.5" customHeight="1">
      <c r="A86" s="45"/>
      <c r="B86" s="45"/>
      <c r="C86" s="45"/>
      <c r="D86" s="45"/>
      <c r="E86" s="45"/>
      <c r="F86" s="45"/>
      <c r="G86" s="45"/>
      <c r="H86" s="45"/>
      <c r="I86" s="45"/>
      <c r="J86" s="45"/>
      <c r="K86" s="45"/>
      <c r="L86" s="45"/>
      <c r="M86" s="45"/>
      <c r="N86" s="45"/>
      <c r="O86" s="45"/>
      <c r="P86" s="45"/>
      <c r="Q86" s="45"/>
      <c r="R86" s="45"/>
      <c r="S86" s="45"/>
      <c r="T86" s="45"/>
      <c r="U86" s="45"/>
      <c r="V86" s="45"/>
    </row>
    <row r="87" ht="22.5" customHeight="1">
      <c r="A87" s="45"/>
      <c r="B87" s="45"/>
      <c r="C87" s="45"/>
      <c r="D87" s="45"/>
      <c r="E87" s="45"/>
      <c r="F87" s="45"/>
      <c r="G87" s="45"/>
      <c r="H87" s="45"/>
      <c r="I87" s="45"/>
      <c r="J87" s="45"/>
      <c r="K87" s="45"/>
      <c r="L87" s="45"/>
      <c r="M87" s="45"/>
      <c r="N87" s="45"/>
      <c r="O87" s="45"/>
      <c r="P87" s="45"/>
      <c r="Q87" s="45"/>
      <c r="R87" s="45"/>
      <c r="S87" s="45"/>
      <c r="T87" s="45"/>
      <c r="U87" s="45"/>
      <c r="V87" s="45"/>
    </row>
    <row r="88" ht="22.5" customHeight="1">
      <c r="A88" s="45"/>
      <c r="B88" s="45"/>
      <c r="C88" s="45"/>
      <c r="D88" s="45"/>
      <c r="E88" s="45"/>
      <c r="F88" s="45"/>
      <c r="G88" s="45"/>
      <c r="H88" s="45"/>
      <c r="I88" s="45"/>
      <c r="J88" s="45"/>
      <c r="K88" s="45"/>
      <c r="L88" s="45"/>
      <c r="M88" s="45"/>
      <c r="N88" s="45"/>
      <c r="O88" s="45"/>
      <c r="P88" s="45"/>
      <c r="Q88" s="45"/>
      <c r="R88" s="45"/>
      <c r="S88" s="45"/>
      <c r="T88" s="45"/>
      <c r="U88" s="45"/>
      <c r="V88" s="45"/>
    </row>
    <row r="89" ht="22.5" customHeight="1">
      <c r="A89" s="45"/>
      <c r="B89" s="45"/>
      <c r="C89" s="45"/>
      <c r="D89" s="45"/>
      <c r="E89" s="45"/>
      <c r="F89" s="45"/>
      <c r="G89" s="45"/>
      <c r="H89" s="45"/>
      <c r="I89" s="45"/>
      <c r="J89" s="45"/>
      <c r="K89" s="45"/>
      <c r="L89" s="45"/>
      <c r="M89" s="45"/>
      <c r="N89" s="45"/>
      <c r="O89" s="45"/>
      <c r="P89" s="45"/>
      <c r="Q89" s="45"/>
      <c r="R89" s="45"/>
      <c r="S89" s="45"/>
      <c r="T89" s="45"/>
      <c r="U89" s="45"/>
      <c r="V89" s="45"/>
    </row>
    <row r="90" ht="22.5" customHeight="1">
      <c r="A90" s="45"/>
      <c r="B90" s="45"/>
      <c r="C90" s="45"/>
      <c r="D90" s="45"/>
      <c r="E90" s="45"/>
      <c r="F90" s="45"/>
      <c r="G90" s="45"/>
      <c r="H90" s="45"/>
      <c r="I90" s="45"/>
      <c r="J90" s="45"/>
      <c r="K90" s="45"/>
      <c r="L90" s="45"/>
      <c r="M90" s="45"/>
      <c r="N90" s="45"/>
      <c r="O90" s="45"/>
      <c r="P90" s="45"/>
      <c r="Q90" s="45"/>
      <c r="R90" s="45"/>
      <c r="S90" s="45"/>
      <c r="T90" s="45"/>
      <c r="U90" s="45"/>
      <c r="V90" s="45"/>
    </row>
    <row r="91" ht="22.5" customHeight="1">
      <c r="A91" s="45"/>
      <c r="B91" s="45"/>
      <c r="C91" s="45"/>
      <c r="D91" s="45"/>
      <c r="E91" s="45"/>
      <c r="F91" s="45"/>
      <c r="G91" s="45"/>
      <c r="H91" s="45"/>
      <c r="I91" s="45"/>
      <c r="J91" s="45"/>
      <c r="K91" s="45"/>
      <c r="L91" s="45"/>
      <c r="M91" s="45"/>
      <c r="N91" s="45"/>
      <c r="O91" s="45"/>
      <c r="P91" s="45"/>
      <c r="Q91" s="45"/>
      <c r="R91" s="45"/>
      <c r="S91" s="45"/>
      <c r="T91" s="45"/>
      <c r="U91" s="45"/>
      <c r="V91" s="45"/>
    </row>
    <row r="92" ht="22.5" customHeight="1">
      <c r="A92" s="45"/>
      <c r="B92" s="45"/>
      <c r="C92" s="45"/>
      <c r="D92" s="45"/>
      <c r="E92" s="45"/>
      <c r="F92" s="45"/>
      <c r="G92" s="45"/>
      <c r="H92" s="45"/>
      <c r="I92" s="45"/>
      <c r="J92" s="45"/>
      <c r="K92" s="45"/>
      <c r="L92" s="45"/>
      <c r="M92" s="45"/>
      <c r="N92" s="45"/>
      <c r="O92" s="45"/>
      <c r="P92" s="45"/>
      <c r="Q92" s="45"/>
      <c r="R92" s="45"/>
      <c r="S92" s="45"/>
      <c r="T92" s="45"/>
      <c r="U92" s="45"/>
      <c r="V92" s="45"/>
    </row>
    <row r="93" ht="22.5" customHeight="1">
      <c r="A93" s="45"/>
      <c r="B93" s="45"/>
      <c r="C93" s="45"/>
      <c r="D93" s="45"/>
      <c r="E93" s="45"/>
      <c r="F93" s="45"/>
      <c r="G93" s="45"/>
      <c r="H93" s="45"/>
      <c r="I93" s="45"/>
      <c r="J93" s="45"/>
      <c r="K93" s="45"/>
      <c r="L93" s="45"/>
      <c r="M93" s="45"/>
      <c r="N93" s="45"/>
      <c r="O93" s="45"/>
      <c r="P93" s="45"/>
      <c r="Q93" s="45"/>
      <c r="R93" s="45"/>
      <c r="S93" s="45"/>
      <c r="T93" s="45"/>
      <c r="U93" s="45"/>
      <c r="V93" s="45"/>
    </row>
    <row r="94" ht="22.5" customHeight="1">
      <c r="A94" s="45"/>
      <c r="B94" s="45"/>
      <c r="C94" s="45"/>
      <c r="D94" s="45"/>
      <c r="E94" s="45"/>
      <c r="F94" s="45"/>
      <c r="G94" s="45"/>
      <c r="H94" s="45"/>
      <c r="I94" s="45"/>
      <c r="J94" s="45"/>
      <c r="K94" s="45"/>
      <c r="L94" s="45"/>
      <c r="M94" s="45"/>
      <c r="N94" s="45"/>
      <c r="O94" s="45"/>
      <c r="P94" s="45"/>
      <c r="Q94" s="45"/>
      <c r="R94" s="45"/>
      <c r="S94" s="45"/>
      <c r="T94" s="45"/>
      <c r="U94" s="45"/>
      <c r="V94" s="45"/>
    </row>
    <row r="95" ht="22.5" customHeight="1">
      <c r="A95" s="45"/>
      <c r="B95" s="45"/>
      <c r="C95" s="45"/>
      <c r="D95" s="45"/>
      <c r="E95" s="45"/>
      <c r="F95" s="45"/>
      <c r="G95" s="45"/>
      <c r="H95" s="45"/>
      <c r="I95" s="45"/>
      <c r="J95" s="45"/>
      <c r="K95" s="45"/>
      <c r="L95" s="45"/>
      <c r="M95" s="45"/>
      <c r="N95" s="45"/>
      <c r="O95" s="45"/>
      <c r="P95" s="45"/>
      <c r="Q95" s="45"/>
      <c r="R95" s="45"/>
      <c r="S95" s="45"/>
      <c r="T95" s="45"/>
      <c r="U95" s="45"/>
      <c r="V95" s="45"/>
    </row>
    <row r="96" ht="22.5" customHeight="1">
      <c r="A96" s="45"/>
      <c r="B96" s="45"/>
      <c r="C96" s="45"/>
      <c r="D96" s="45"/>
      <c r="E96" s="45"/>
      <c r="F96" s="45"/>
      <c r="G96" s="45"/>
      <c r="H96" s="45"/>
      <c r="I96" s="45"/>
      <c r="J96" s="45"/>
      <c r="K96" s="45"/>
      <c r="L96" s="45"/>
      <c r="M96" s="45"/>
      <c r="N96" s="45"/>
      <c r="O96" s="45"/>
      <c r="P96" s="45"/>
      <c r="Q96" s="45"/>
      <c r="R96" s="45"/>
      <c r="S96" s="45"/>
      <c r="T96" s="45"/>
      <c r="U96" s="45"/>
      <c r="V96" s="45"/>
    </row>
    <row r="97" ht="22.5" customHeight="1">
      <c r="A97" s="45"/>
      <c r="B97" s="45"/>
      <c r="C97" s="45"/>
      <c r="D97" s="45"/>
      <c r="E97" s="45"/>
      <c r="F97" s="45"/>
      <c r="G97" s="45"/>
      <c r="H97" s="45"/>
      <c r="I97" s="45"/>
      <c r="J97" s="45"/>
      <c r="K97" s="45"/>
      <c r="L97" s="45"/>
      <c r="M97" s="45"/>
      <c r="N97" s="45"/>
      <c r="O97" s="45"/>
      <c r="P97" s="45"/>
      <c r="Q97" s="45"/>
      <c r="R97" s="45"/>
      <c r="S97" s="45"/>
      <c r="T97" s="45"/>
      <c r="U97" s="45"/>
      <c r="V97" s="45"/>
    </row>
    <row r="98" ht="22.5" customHeight="1">
      <c r="A98" s="45"/>
      <c r="B98" s="45"/>
      <c r="C98" s="45"/>
      <c r="D98" s="45"/>
      <c r="E98" s="45"/>
      <c r="F98" s="45"/>
      <c r="G98" s="45"/>
      <c r="H98" s="45"/>
      <c r="I98" s="45"/>
      <c r="J98" s="45"/>
      <c r="K98" s="45"/>
      <c r="L98" s="45"/>
      <c r="M98" s="45"/>
      <c r="N98" s="45"/>
      <c r="O98" s="45"/>
      <c r="P98" s="45"/>
      <c r="Q98" s="45"/>
      <c r="R98" s="45"/>
      <c r="S98" s="45"/>
      <c r="T98" s="45"/>
      <c r="U98" s="45"/>
      <c r="V98" s="45"/>
    </row>
    <row r="99" ht="22.5" customHeight="1">
      <c r="A99" s="45"/>
      <c r="B99" s="45"/>
      <c r="C99" s="45"/>
      <c r="D99" s="45"/>
      <c r="E99" s="45"/>
      <c r="F99" s="45"/>
      <c r="G99" s="45"/>
      <c r="H99" s="45"/>
      <c r="I99" s="45"/>
      <c r="J99" s="45"/>
      <c r="K99" s="45"/>
      <c r="L99" s="45"/>
      <c r="M99" s="45"/>
      <c r="N99" s="45"/>
      <c r="O99" s="45"/>
      <c r="P99" s="45"/>
      <c r="Q99" s="45"/>
      <c r="R99" s="45"/>
      <c r="S99" s="45"/>
      <c r="T99" s="45"/>
      <c r="U99" s="45"/>
      <c r="V99" s="45"/>
    </row>
    <row r="100" ht="22.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row>
    <row r="101" ht="22.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row>
    <row r="102" ht="22.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row>
    <row r="103" ht="22.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row>
    <row r="104" ht="22.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row>
    <row r="105" ht="22.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row>
    <row r="106" ht="22.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row>
    <row r="107" ht="22.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row>
    <row r="108" ht="22.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row>
    <row r="109" ht="22.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row>
    <row r="110" ht="22.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row>
    <row r="111" ht="22.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row>
    <row r="112" ht="22.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row>
    <row r="113" ht="22.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row>
    <row r="114" ht="22.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row>
    <row r="115" ht="22.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row>
    <row r="116" ht="22.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row>
    <row r="117" ht="22.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row>
    <row r="118" ht="22.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row>
    <row r="119" ht="22.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row>
    <row r="120" ht="22.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row>
    <row r="121" ht="22.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row>
    <row r="122" ht="22.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row>
    <row r="123" ht="22.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row>
    <row r="124" ht="22.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row>
    <row r="125" ht="22.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row>
    <row r="126" ht="22.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row>
    <row r="127" ht="22.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row>
    <row r="128" ht="22.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row>
    <row r="129" ht="22.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row>
    <row r="130" ht="22.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row>
    <row r="131" ht="22.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row>
    <row r="132" ht="22.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row>
    <row r="133" ht="22.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row>
    <row r="134" ht="22.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row>
    <row r="135" ht="22.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row>
    <row r="136" ht="22.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row>
    <row r="137" ht="22.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row>
    <row r="138" ht="22.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row>
    <row r="139" ht="22.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row>
    <row r="140" ht="22.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row>
    <row r="141" ht="22.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row>
    <row r="142" ht="22.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row>
    <row r="143" ht="22.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row>
    <row r="144" ht="22.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row>
    <row r="145" ht="22.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row>
    <row r="146" ht="22.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row>
    <row r="147" ht="22.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row>
    <row r="148" ht="22.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row>
    <row r="149" ht="22.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row>
    <row r="150" ht="22.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row>
    <row r="151" ht="22.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row>
    <row r="152" ht="22.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row>
    <row r="153" ht="22.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row>
    <row r="154" ht="22.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row>
    <row r="155" ht="22.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row>
    <row r="156" ht="22.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row>
    <row r="157" ht="22.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row>
    <row r="158" ht="22.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row>
    <row r="159" ht="22.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row>
    <row r="160" ht="22.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row>
    <row r="161" ht="22.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row>
    <row r="162" ht="22.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row>
    <row r="163" ht="22.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row>
    <row r="164" ht="22.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row>
    <row r="165" ht="22.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row>
    <row r="166" ht="22.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row>
    <row r="167" ht="22.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row>
    <row r="168" ht="22.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row>
    <row r="169" ht="22.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row>
    <row r="170" ht="22.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row>
    <row r="171" ht="22.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row>
    <row r="172" ht="22.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row>
    <row r="173" ht="22.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row>
    <row r="174" ht="22.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row>
    <row r="175" ht="22.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row>
    <row r="176" ht="22.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row>
    <row r="177" ht="22.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row>
    <row r="178" ht="22.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row>
    <row r="179" ht="22.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row>
    <row r="180" ht="22.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row>
    <row r="181" ht="22.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row>
    <row r="182" ht="22.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row>
    <row r="183" ht="22.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row>
    <row r="184" ht="22.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row>
    <row r="185" ht="22.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row>
    <row r="186" ht="22.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row>
    <row r="187" ht="22.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row>
    <row r="188" ht="22.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row>
    <row r="189" ht="22.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row>
    <row r="190" ht="22.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row>
    <row r="191" ht="22.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row>
    <row r="192" ht="22.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row>
    <row r="193" ht="22.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row>
    <row r="194" ht="22.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row>
    <row r="195" ht="22.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row>
    <row r="196" ht="22.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row>
    <row r="197" ht="22.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row>
    <row r="198" ht="22.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row>
    <row r="199" ht="22.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row>
    <row r="200" ht="22.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row>
    <row r="201" ht="22.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row>
    <row r="202" ht="22.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row>
    <row r="203" ht="22.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row>
    <row r="204" ht="22.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row>
    <row r="205" ht="22.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row>
    <row r="206" ht="22.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row>
    <row r="207" ht="22.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row>
    <row r="208" ht="22.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row>
    <row r="209" ht="22.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row>
    <row r="210" ht="22.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row>
    <row r="211" ht="22.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row>
    <row r="212" ht="22.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row>
    <row r="213" ht="22.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row>
    <row r="214" ht="22.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row>
    <row r="215" ht="22.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row>
    <row r="216" ht="22.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row>
    <row r="217" ht="22.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row>
    <row r="218" ht="22.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row>
    <row r="219" ht="22.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row>
    <row r="220" ht="22.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row>
    <row r="221" ht="22.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row>
    <row r="222" ht="22.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row>
    <row r="223" ht="22.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row>
    <row r="224" ht="22.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row>
    <row r="225" ht="22.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row>
    <row r="226" ht="22.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row>
    <row r="227" ht="22.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row>
    <row r="228" ht="22.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row>
    <row r="229" ht="22.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row>
    <row r="230" ht="22.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row>
    <row r="231" ht="22.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row>
    <row r="232" ht="22.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row>
    <row r="233" ht="22.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row>
    <row r="234" ht="22.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row>
    <row r="235" ht="22.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row>
    <row r="236" ht="22.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row>
    <row r="237" ht="22.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row>
    <row r="238" ht="22.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row>
    <row r="239" ht="22.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row>
    <row r="240" ht="22.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row>
    <row r="241" ht="22.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row>
    <row r="242" ht="22.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row>
    <row r="243" ht="22.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row>
    <row r="244" ht="22.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row>
    <row r="245" ht="22.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row>
    <row r="246" ht="22.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row>
    <row r="247" ht="22.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row>
    <row r="248" ht="22.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row>
    <row r="249" ht="22.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row>
    <row r="250" ht="22.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row>
    <row r="251" ht="22.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row>
    <row r="252" ht="22.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row>
    <row r="253" ht="22.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row>
    <row r="254" ht="22.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row>
    <row r="255" ht="22.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row>
    <row r="256" ht="22.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row>
    <row r="257" ht="22.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row>
    <row r="258" ht="22.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row>
    <row r="259" ht="22.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row>
    <row r="260" ht="22.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row>
    <row r="261" ht="22.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row>
    <row r="262" ht="22.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row>
    <row r="263" ht="22.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row>
    <row r="264" ht="22.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row>
    <row r="265" ht="22.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row>
    <row r="266" ht="22.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row>
    <row r="267" ht="22.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row>
    <row r="268" ht="22.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row>
    <row r="269" ht="22.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row>
    <row r="270" ht="22.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row>
    <row r="271" ht="22.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row>
    <row r="272" ht="22.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row>
    <row r="273" ht="22.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row>
    <row r="274" ht="22.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row>
    <row r="275" ht="22.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row>
    <row r="276" ht="22.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row>
    <row r="277" ht="22.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row>
    <row r="278" ht="22.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row>
    <row r="279" ht="22.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row>
    <row r="280" ht="22.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row>
    <row r="281" ht="22.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row>
    <row r="282" ht="22.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row>
    <row r="283" ht="22.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row>
    <row r="284" ht="22.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row>
    <row r="285" ht="22.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row>
    <row r="286" ht="22.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row>
    <row r="287" ht="22.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row>
    <row r="288" ht="22.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row>
    <row r="289" ht="22.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row>
    <row r="290" ht="22.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row>
    <row r="291" ht="22.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row>
    <row r="292" ht="22.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row>
    <row r="293" ht="22.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row>
    <row r="294" ht="22.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row>
    <row r="295" ht="22.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row>
    <row r="296" ht="22.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row>
    <row r="297" ht="22.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row>
    <row r="298" ht="22.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row>
    <row r="299" ht="22.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row>
    <row r="300" ht="22.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row>
    <row r="301" ht="22.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row>
    <row r="302" ht="22.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row>
    <row r="303" ht="22.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row>
    <row r="304" ht="22.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row>
    <row r="305" ht="22.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row>
    <row r="306" ht="22.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row>
    <row r="307" ht="22.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row>
    <row r="308" ht="22.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row>
    <row r="309" ht="22.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row>
    <row r="310" ht="22.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row>
    <row r="311" ht="22.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row>
    <row r="312" ht="22.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row>
    <row r="313" ht="22.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row>
    <row r="314" ht="22.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row>
    <row r="315" ht="22.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row>
    <row r="316" ht="22.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row>
    <row r="317" ht="22.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row>
    <row r="318" ht="22.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row>
    <row r="319" ht="22.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row>
    <row r="320" ht="22.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row>
    <row r="321" ht="22.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row>
    <row r="322" ht="22.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row>
    <row r="323" ht="22.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row>
    <row r="324" ht="22.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row>
    <row r="325" ht="22.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row>
    <row r="326" ht="22.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row>
    <row r="327" ht="22.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row>
    <row r="328" ht="22.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row>
    <row r="329" ht="22.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row>
    <row r="330" ht="22.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row>
    <row r="331" ht="22.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row>
    <row r="332" ht="22.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row>
    <row r="333" ht="22.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row>
    <row r="334" ht="22.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row>
    <row r="335" ht="22.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row>
    <row r="336" ht="22.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row>
    <row r="337" ht="22.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row>
    <row r="338" ht="22.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row>
    <row r="339" ht="22.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row>
    <row r="340" ht="22.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row>
    <row r="341" ht="22.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row>
    <row r="342" ht="22.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row>
    <row r="343" ht="22.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row>
    <row r="344" ht="22.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row>
    <row r="345" ht="22.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row>
    <row r="346" ht="22.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row>
    <row r="347" ht="22.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row>
    <row r="348" ht="22.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row>
    <row r="349" ht="22.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row>
    <row r="350" ht="22.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row>
    <row r="351" ht="22.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row>
    <row r="352" ht="22.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row>
    <row r="353" ht="22.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row>
    <row r="354" ht="22.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row>
    <row r="355" ht="22.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row>
    <row r="356" ht="22.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row>
    <row r="357" ht="22.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row>
    <row r="358" ht="22.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row>
    <row r="359" ht="22.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row>
    <row r="360" ht="22.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row>
    <row r="361" ht="22.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row>
    <row r="362" ht="22.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row>
    <row r="363" ht="22.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row>
    <row r="364" ht="22.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row>
    <row r="365" ht="22.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row>
    <row r="366" ht="22.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row>
    <row r="367" ht="22.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row>
    <row r="368" ht="22.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row>
    <row r="369" ht="22.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row>
    <row r="370" ht="22.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row>
    <row r="371" ht="22.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row>
    <row r="372" ht="22.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row>
    <row r="373" ht="22.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row>
    <row r="374" ht="22.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row>
    <row r="375" ht="22.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row>
    <row r="376" ht="22.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row>
    <row r="377" ht="22.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row>
    <row r="378" ht="22.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row>
    <row r="379" ht="22.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row>
    <row r="380" ht="22.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row>
    <row r="381" ht="22.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row>
    <row r="382" ht="22.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row>
    <row r="383" ht="22.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row>
    <row r="384" ht="22.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row>
    <row r="385" ht="22.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row>
    <row r="386" ht="22.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row>
    <row r="387" ht="22.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row>
    <row r="388" ht="22.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row>
    <row r="389" ht="22.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row>
    <row r="390" ht="22.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row>
    <row r="391" ht="22.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row>
    <row r="392" ht="22.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row>
    <row r="393" ht="22.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row>
    <row r="394" ht="22.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row>
    <row r="395" ht="22.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row>
    <row r="396" ht="22.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row>
    <row r="397" ht="22.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row>
    <row r="398" ht="22.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row>
    <row r="399" ht="22.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row>
    <row r="400" ht="22.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row>
    <row r="401" ht="22.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row>
    <row r="402" ht="22.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row>
    <row r="403" ht="22.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row>
    <row r="404" ht="22.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row>
    <row r="405" ht="22.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row>
    <row r="406" ht="22.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row>
    <row r="407" ht="22.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row>
    <row r="408" ht="22.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row>
    <row r="409" ht="22.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row>
    <row r="410" ht="22.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row>
    <row r="411" ht="22.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row>
    <row r="412" ht="22.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row>
    <row r="413" ht="22.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row>
    <row r="414" ht="22.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row>
    <row r="415" ht="22.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row>
    <row r="416" ht="22.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row>
    <row r="417" ht="22.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row>
    <row r="418" ht="22.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row>
    <row r="419" ht="22.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row>
    <row r="420" ht="22.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row>
    <row r="421" ht="22.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row>
    <row r="422" ht="22.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row>
    <row r="423" ht="22.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row>
    <row r="424" ht="22.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row>
    <row r="425" ht="22.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row>
    <row r="426" ht="22.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row>
    <row r="427" ht="22.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row>
    <row r="428" ht="22.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row>
    <row r="429" ht="22.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row>
    <row r="430" ht="22.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row>
    <row r="431" ht="22.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row>
    <row r="432" ht="22.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row>
    <row r="433" ht="22.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row>
    <row r="434" ht="22.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row>
    <row r="435" ht="22.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row>
    <row r="436" ht="22.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row>
    <row r="437" ht="22.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row>
    <row r="438" ht="22.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row>
    <row r="439" ht="22.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row>
    <row r="440" ht="22.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row>
    <row r="441" ht="22.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row>
    <row r="442" ht="22.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row>
    <row r="443" ht="22.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row>
    <row r="444" ht="22.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row>
    <row r="445" ht="22.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row>
    <row r="446" ht="22.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row>
    <row r="447" ht="22.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row>
    <row r="448" ht="22.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row>
    <row r="449" ht="22.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row>
    <row r="450" ht="22.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row>
    <row r="451" ht="22.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row>
    <row r="452" ht="22.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row>
    <row r="453" ht="22.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row>
    <row r="454" ht="22.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row>
    <row r="455" ht="22.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row>
    <row r="456" ht="22.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row>
    <row r="457" ht="22.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row>
    <row r="458" ht="22.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row>
    <row r="459" ht="22.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row>
    <row r="460" ht="22.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row>
    <row r="461" ht="22.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row>
    <row r="462" ht="22.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row>
    <row r="463" ht="22.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row>
    <row r="464" ht="22.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row>
    <row r="465" ht="22.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row>
    <row r="466" ht="22.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row>
    <row r="467" ht="22.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row>
    <row r="468" ht="22.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row>
    <row r="469" ht="22.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row>
    <row r="470" ht="22.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row>
    <row r="471" ht="22.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row>
    <row r="472" ht="22.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row>
    <row r="473" ht="22.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row>
    <row r="474" ht="22.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row>
    <row r="475" ht="22.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row>
    <row r="476" ht="22.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row>
    <row r="477" ht="22.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row>
    <row r="478" ht="22.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row>
    <row r="479" ht="22.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row>
    <row r="480" ht="22.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row>
    <row r="481" ht="22.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row>
    <row r="482" ht="22.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row>
    <row r="483" ht="22.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row>
    <row r="484" ht="22.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row>
    <row r="485" ht="22.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row>
    <row r="486" ht="22.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row>
    <row r="487" ht="22.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row>
    <row r="488" ht="22.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row>
    <row r="489" ht="22.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row>
    <row r="490" ht="22.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row>
    <row r="491" ht="22.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row>
    <row r="492" ht="22.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row>
    <row r="493" ht="22.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row>
    <row r="494" ht="22.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row>
    <row r="495" ht="22.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row>
    <row r="496" ht="22.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row>
    <row r="497" ht="22.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row>
    <row r="498" ht="22.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row>
    <row r="499" ht="22.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row>
    <row r="500" ht="22.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row>
    <row r="501" ht="22.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row>
    <row r="502" ht="22.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row>
    <row r="503" ht="22.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row>
    <row r="504" ht="22.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row>
    <row r="505" ht="22.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row>
    <row r="506" ht="22.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row>
    <row r="507" ht="22.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row>
    <row r="508" ht="22.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row>
    <row r="509" ht="22.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row>
    <row r="510" ht="22.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row>
    <row r="511" ht="22.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row>
    <row r="512" ht="22.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row>
    <row r="513" ht="22.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row>
    <row r="514" ht="22.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row>
    <row r="515" ht="22.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row>
    <row r="516" ht="22.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row>
    <row r="517" ht="22.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row>
    <row r="518" ht="22.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row>
    <row r="519" ht="22.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row>
    <row r="520" ht="22.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row>
    <row r="521" ht="22.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row>
    <row r="522" ht="22.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row>
    <row r="523" ht="22.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row>
    <row r="524" ht="22.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row>
    <row r="525" ht="22.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row>
    <row r="526" ht="22.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row>
    <row r="527" ht="22.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row>
    <row r="528" ht="22.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row>
    <row r="529" ht="22.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row>
    <row r="530" ht="22.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row>
    <row r="531" ht="22.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row>
    <row r="532" ht="22.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row>
    <row r="533" ht="22.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row>
    <row r="534" ht="22.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row>
    <row r="535" ht="22.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row>
    <row r="536" ht="22.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row>
    <row r="537" ht="22.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row>
    <row r="538" ht="22.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row>
    <row r="539" ht="22.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row>
    <row r="540" ht="22.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row>
    <row r="541" ht="22.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row>
    <row r="542" ht="22.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row>
    <row r="543" ht="22.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row>
    <row r="544" ht="22.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row>
    <row r="545" ht="22.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row>
    <row r="546" ht="22.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row>
    <row r="547" ht="22.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row>
    <row r="548" ht="22.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row>
    <row r="549" ht="22.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row>
    <row r="550" ht="22.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row>
    <row r="551" ht="22.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row>
    <row r="552" ht="22.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row>
    <row r="553" ht="22.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row>
    <row r="554" ht="22.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row>
    <row r="555" ht="22.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row>
    <row r="556" ht="22.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row>
    <row r="557" ht="22.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row>
    <row r="558" ht="22.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row>
    <row r="559" ht="22.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row>
    <row r="560" ht="22.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row>
    <row r="561" ht="22.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row>
    <row r="562" ht="22.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row>
    <row r="563" ht="22.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row>
    <row r="564" ht="22.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row>
    <row r="565" ht="22.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row>
    <row r="566" ht="22.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row>
    <row r="567" ht="22.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row>
    <row r="568" ht="22.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row>
    <row r="569" ht="22.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row>
    <row r="570" ht="22.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row>
    <row r="571" ht="22.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row>
    <row r="572" ht="22.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row>
    <row r="573" ht="22.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row>
    <row r="574" ht="22.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row>
    <row r="575" ht="22.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row>
    <row r="576" ht="22.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row>
    <row r="577" ht="22.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row>
    <row r="578" ht="22.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row>
    <row r="579" ht="22.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row>
    <row r="580" ht="22.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row>
    <row r="581" ht="22.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row>
    <row r="582" ht="22.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row>
    <row r="583" ht="22.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row>
    <row r="584" ht="22.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row>
    <row r="585" ht="22.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row>
    <row r="586" ht="22.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row>
    <row r="587" ht="22.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row>
    <row r="588" ht="22.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row>
    <row r="589" ht="22.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row>
    <row r="590" ht="22.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row>
    <row r="591" ht="22.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row>
    <row r="592" ht="22.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row>
    <row r="593" ht="22.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row>
    <row r="594" ht="22.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row>
    <row r="595" ht="22.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row>
    <row r="596" ht="22.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row>
    <row r="597" ht="22.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row>
    <row r="598" ht="22.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row>
    <row r="599" ht="22.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row>
    <row r="600" ht="22.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row>
    <row r="601" ht="22.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row>
    <row r="602" ht="22.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row>
    <row r="603" ht="22.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row>
    <row r="604" ht="22.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row>
    <row r="605" ht="22.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row>
    <row r="606" ht="22.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row>
    <row r="607" ht="22.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row>
    <row r="608" ht="22.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row>
    <row r="609" ht="22.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row>
    <row r="610" ht="22.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row>
    <row r="611" ht="22.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row>
    <row r="612" ht="22.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row>
    <row r="613" ht="22.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row>
    <row r="614" ht="22.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row>
    <row r="615" ht="22.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row>
    <row r="616" ht="22.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row>
    <row r="617" ht="22.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row>
    <row r="618" ht="22.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row>
    <row r="619" ht="22.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row>
    <row r="620" ht="22.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row>
    <row r="621" ht="22.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row>
    <row r="622" ht="22.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row>
    <row r="623" ht="22.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row>
    <row r="624" ht="22.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row>
    <row r="625" ht="22.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row>
    <row r="626" ht="22.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row>
    <row r="627" ht="22.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row>
    <row r="628" ht="22.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row>
    <row r="629" ht="22.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row>
    <row r="630" ht="22.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row>
    <row r="631" ht="22.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row>
    <row r="632" ht="22.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row>
    <row r="633" ht="22.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row>
    <row r="634" ht="22.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row>
    <row r="635" ht="22.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row>
    <row r="636" ht="22.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row>
    <row r="637" ht="22.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row>
    <row r="638" ht="22.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row>
    <row r="639" ht="22.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row>
    <row r="640" ht="22.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row>
    <row r="641" ht="22.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row>
    <row r="642" ht="22.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row>
    <row r="643" ht="22.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row>
    <row r="644" ht="22.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row>
    <row r="645" ht="22.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row>
    <row r="646" ht="22.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row>
    <row r="647" ht="22.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row>
    <row r="648" ht="22.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row>
    <row r="649" ht="22.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row>
    <row r="650" ht="22.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row>
    <row r="651" ht="22.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row>
    <row r="652" ht="22.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row>
    <row r="653" ht="22.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row>
    <row r="654" ht="22.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row>
    <row r="655" ht="22.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row>
    <row r="656" ht="22.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row>
    <row r="657" ht="22.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row>
    <row r="658" ht="22.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row>
    <row r="659" ht="22.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row>
    <row r="660" ht="22.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row>
    <row r="661" ht="22.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row>
    <row r="662" ht="22.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row>
    <row r="663" ht="22.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row>
    <row r="664" ht="22.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row>
    <row r="665" ht="22.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row>
    <row r="666" ht="22.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row>
    <row r="667" ht="22.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row>
    <row r="668" ht="22.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row>
    <row r="669" ht="22.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row>
    <row r="670" ht="22.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row>
    <row r="671" ht="22.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row>
    <row r="672" ht="22.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row>
    <row r="673" ht="22.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row>
    <row r="674" ht="22.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row>
    <row r="675" ht="22.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row>
    <row r="676" ht="22.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row>
    <row r="677" ht="22.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row>
    <row r="678" ht="22.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row>
    <row r="679" ht="22.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row>
    <row r="680" ht="22.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row>
    <row r="681" ht="22.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row>
    <row r="682" ht="22.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row>
    <row r="683" ht="22.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row>
    <row r="684" ht="22.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row>
    <row r="685" ht="22.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row>
    <row r="686" ht="22.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row>
    <row r="687" ht="22.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row>
    <row r="688" ht="22.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row>
    <row r="689" ht="22.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row>
    <row r="690" ht="22.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row>
    <row r="691" ht="22.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row>
    <row r="692" ht="22.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row>
    <row r="693" ht="22.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row>
    <row r="694" ht="22.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row>
    <row r="695" ht="22.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row>
    <row r="696" ht="22.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row>
    <row r="697" ht="22.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row>
    <row r="698" ht="22.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row>
    <row r="699" ht="22.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row>
    <row r="700" ht="22.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row>
    <row r="701" ht="22.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row>
    <row r="702" ht="22.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row>
    <row r="703" ht="22.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row>
    <row r="704" ht="22.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row>
    <row r="705" ht="22.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row>
    <row r="706" ht="22.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row>
    <row r="707" ht="22.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row>
    <row r="708" ht="22.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row>
    <row r="709" ht="22.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row>
    <row r="710" ht="22.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row>
    <row r="711" ht="22.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row>
    <row r="712" ht="22.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row>
    <row r="713" ht="22.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row>
    <row r="714" ht="22.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row>
    <row r="715" ht="22.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row>
    <row r="716" ht="22.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row>
    <row r="717" ht="22.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row>
    <row r="718" ht="22.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row>
    <row r="719" ht="22.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row>
    <row r="720" ht="22.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row>
    <row r="721" ht="22.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row>
    <row r="722" ht="22.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row>
    <row r="723" ht="22.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row>
    <row r="724" ht="22.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row>
    <row r="725" ht="22.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row>
    <row r="726" ht="22.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row>
    <row r="727" ht="22.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row>
    <row r="728" ht="22.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row>
    <row r="729" ht="22.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row>
    <row r="730" ht="22.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row>
    <row r="731" ht="22.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row>
    <row r="732" ht="22.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row>
    <row r="733" ht="22.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row>
    <row r="734" ht="22.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row>
    <row r="735" ht="22.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row>
    <row r="736" ht="22.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row>
    <row r="737" ht="22.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row>
    <row r="738" ht="22.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row>
    <row r="739" ht="22.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row>
    <row r="740" ht="22.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row>
    <row r="741" ht="22.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row>
    <row r="742" ht="22.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row>
    <row r="743" ht="22.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row>
    <row r="744" ht="22.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row>
    <row r="745" ht="22.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row>
    <row r="746" ht="22.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row>
    <row r="747" ht="22.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row>
    <row r="748" ht="22.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row>
    <row r="749" ht="22.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row>
    <row r="750" ht="22.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row>
    <row r="751" ht="22.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row>
    <row r="752" ht="22.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row>
    <row r="753" ht="22.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row>
    <row r="754" ht="22.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row>
    <row r="755" ht="22.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row>
    <row r="756" ht="22.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row>
    <row r="757" ht="22.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row>
    <row r="758" ht="22.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row>
    <row r="759" ht="22.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row>
    <row r="760" ht="22.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row>
    <row r="761" ht="22.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row>
    <row r="762" ht="22.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row>
    <row r="763" ht="22.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row>
    <row r="764" ht="22.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row>
    <row r="765" ht="22.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row>
    <row r="766" ht="22.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row>
    <row r="767" ht="22.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row>
    <row r="768" ht="22.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row>
    <row r="769" ht="22.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row>
    <row r="770" ht="22.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row>
    <row r="771" ht="22.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row>
    <row r="772" ht="22.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row>
    <row r="773" ht="22.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row>
    <row r="774" ht="22.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row>
    <row r="775" ht="22.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row>
    <row r="776" ht="22.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row>
    <row r="777" ht="22.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row>
    <row r="778" ht="22.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row>
    <row r="779" ht="22.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row>
    <row r="780" ht="22.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row>
    <row r="781" ht="22.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row>
    <row r="782" ht="22.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row>
    <row r="783" ht="22.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row>
    <row r="784" ht="22.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row>
    <row r="785" ht="22.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row>
    <row r="786" ht="22.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row>
    <row r="787" ht="22.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row>
    <row r="788" ht="22.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row>
    <row r="789" ht="22.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row>
    <row r="790" ht="22.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row>
    <row r="791" ht="22.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row>
    <row r="792" ht="22.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row>
    <row r="793" ht="22.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row>
    <row r="794" ht="22.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row>
    <row r="795" ht="22.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row>
    <row r="796" ht="22.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row>
    <row r="797" ht="22.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row>
    <row r="798" ht="22.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row>
    <row r="799" ht="22.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row>
    <row r="800" ht="22.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row>
    <row r="801" ht="22.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row>
    <row r="802" ht="22.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row>
    <row r="803" ht="22.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row>
    <row r="804" ht="22.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row>
    <row r="805" ht="22.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row>
    <row r="806" ht="22.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row>
    <row r="807" ht="22.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row>
    <row r="808" ht="22.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row>
    <row r="809" ht="22.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row>
    <row r="810" ht="22.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row>
    <row r="811" ht="22.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row>
    <row r="812" ht="22.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row>
    <row r="813" ht="22.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row>
    <row r="814" ht="22.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row>
    <row r="815" ht="22.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row>
    <row r="816" ht="22.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row>
    <row r="817" ht="22.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row>
    <row r="818" ht="22.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row>
    <row r="819" ht="22.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row>
    <row r="820" ht="22.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row>
    <row r="821" ht="22.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row>
    <row r="822" ht="22.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row>
    <row r="823" ht="22.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row>
    <row r="824" ht="22.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row>
    <row r="825" ht="22.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row>
    <row r="826" ht="22.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row>
    <row r="827" ht="22.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row>
    <row r="828" ht="22.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row>
    <row r="829" ht="22.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row>
    <row r="830" ht="22.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row>
    <row r="831" ht="22.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row>
    <row r="832" ht="22.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row>
    <row r="833" ht="22.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row>
    <row r="834" ht="22.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row>
    <row r="835" ht="22.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row>
    <row r="836" ht="22.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row>
    <row r="837" ht="22.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row>
    <row r="838" ht="22.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row>
    <row r="839" ht="22.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row>
    <row r="840" ht="22.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row>
    <row r="841" ht="22.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row>
    <row r="842" ht="22.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row>
    <row r="843" ht="22.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row>
    <row r="844" ht="22.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row>
    <row r="845" ht="22.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row>
    <row r="846" ht="22.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row>
    <row r="847" ht="22.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row>
    <row r="848" ht="22.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row>
    <row r="849" ht="22.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row>
    <row r="850" ht="22.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row>
    <row r="851" ht="22.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row>
    <row r="852" ht="22.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row>
    <row r="853" ht="22.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row>
    <row r="854" ht="22.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row>
    <row r="855" ht="22.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row>
    <row r="856" ht="22.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row>
    <row r="857" ht="22.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row>
    <row r="858" ht="22.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row>
    <row r="859" ht="22.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row>
    <row r="860" ht="22.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row>
    <row r="861" ht="22.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row>
    <row r="862" ht="22.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row>
    <row r="863" ht="22.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row>
    <row r="864" ht="22.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row>
    <row r="865" ht="22.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row>
    <row r="866" ht="22.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row>
    <row r="867" ht="22.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row>
    <row r="868" ht="22.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row>
    <row r="869" ht="22.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row>
    <row r="870" ht="22.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row>
    <row r="871" ht="22.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row>
    <row r="872" ht="22.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row>
    <row r="873" ht="22.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row>
    <row r="874" ht="22.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row>
    <row r="875" ht="22.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row>
    <row r="876" ht="22.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row>
    <row r="877" ht="22.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row>
    <row r="878" ht="22.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row>
    <row r="879" ht="22.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row>
    <row r="880" ht="22.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row>
    <row r="881" ht="22.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row>
    <row r="882" ht="22.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row>
    <row r="883" ht="22.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row>
    <row r="884" ht="22.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row>
    <row r="885" ht="22.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row>
    <row r="886" ht="22.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row>
    <row r="887" ht="22.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row>
    <row r="888" ht="22.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row>
    <row r="889" ht="22.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row>
    <row r="890" ht="22.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row>
    <row r="891" ht="22.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row>
    <row r="892" ht="22.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row>
    <row r="893" ht="22.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row>
    <row r="894" ht="22.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row>
    <row r="895" ht="22.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row>
    <row r="896" ht="22.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row>
    <row r="897" ht="22.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row>
    <row r="898" ht="22.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row>
    <row r="899" ht="22.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row>
    <row r="900" ht="22.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row>
    <row r="901" ht="22.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row>
    <row r="902" ht="22.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row>
    <row r="903" ht="22.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9.57"/>
    <col customWidth="1" min="2" max="2" width="17.14"/>
    <col customWidth="1" min="3" max="3" width="20.57"/>
    <col customWidth="1" min="6" max="6" width="14.71"/>
    <col customWidth="1" min="7" max="7" width="18.0"/>
    <col customWidth="1" min="8" max="8" width="22.14"/>
    <col customWidth="1" min="9" max="9" width="15.0"/>
    <col customWidth="1" min="10" max="10" width="17.0"/>
    <col customWidth="1" min="11" max="11" width="22.57"/>
    <col customWidth="1" min="13" max="13" width="15.14"/>
    <col customWidth="1" min="16" max="16" width="26.57"/>
    <col customWidth="1" min="17" max="17" width="20.29"/>
  </cols>
  <sheetData>
    <row r="1" ht="22.5" customHeight="1">
      <c r="A1" s="6" t="s">
        <v>2309</v>
      </c>
      <c r="B1" s="6" t="s">
        <v>2310</v>
      </c>
      <c r="C1" s="6" t="s">
        <v>1601</v>
      </c>
      <c r="D1" s="6" t="s">
        <v>2311</v>
      </c>
      <c r="E1" s="23" t="s">
        <v>1607</v>
      </c>
      <c r="F1" s="6" t="s">
        <v>1540</v>
      </c>
      <c r="G1" s="6" t="s">
        <v>1542</v>
      </c>
      <c r="H1" s="6" t="s">
        <v>2312</v>
      </c>
      <c r="I1" s="6" t="s">
        <v>2314</v>
      </c>
      <c r="J1" s="6" t="s">
        <v>2315</v>
      </c>
      <c r="K1" s="6" t="s">
        <v>2317</v>
      </c>
      <c r="L1" s="6" t="s">
        <v>46</v>
      </c>
      <c r="M1" s="6" t="s">
        <v>2319</v>
      </c>
      <c r="N1" s="6" t="s">
        <v>2321</v>
      </c>
      <c r="O1" s="6" t="s">
        <v>1608</v>
      </c>
      <c r="P1" s="6" t="s">
        <v>2138</v>
      </c>
      <c r="Q1" s="6" t="s">
        <v>2322</v>
      </c>
      <c r="R1" s="6" t="s">
        <v>5</v>
      </c>
    </row>
    <row r="2" ht="22.5" customHeight="1">
      <c r="A2" s="8" t="s">
        <v>2323</v>
      </c>
      <c r="B2" s="8" t="s">
        <v>2324</v>
      </c>
      <c r="C2" s="8" t="s">
        <v>2325</v>
      </c>
      <c r="D2" s="8">
        <v>9.999999999E9</v>
      </c>
      <c r="E2" s="8" t="s">
        <v>2326</v>
      </c>
      <c r="F2" s="8" t="s">
        <v>2327</v>
      </c>
      <c r="G2" s="8" t="s">
        <v>1734</v>
      </c>
      <c r="H2" s="43">
        <v>243.0</v>
      </c>
      <c r="I2" s="8" t="s">
        <v>2328</v>
      </c>
      <c r="J2" s="8" t="s">
        <v>2329</v>
      </c>
      <c r="K2" s="52">
        <v>46314.0</v>
      </c>
      <c r="L2" s="8" t="s">
        <v>15</v>
      </c>
      <c r="M2" s="52">
        <v>46307.0</v>
      </c>
      <c r="O2" s="8" t="s">
        <v>2330</v>
      </c>
      <c r="P2" s="11">
        <v>46300.67882065973</v>
      </c>
      <c r="R2" s="8" t="s">
        <v>2331</v>
      </c>
    </row>
    <row r="3" ht="22.5" customHeight="1"/>
    <row r="4" ht="22.5" customHeight="1"/>
    <row r="5" ht="22.5" customHeight="1"/>
    <row r="6" ht="22.5" customHeight="1"/>
    <row r="7" ht="22.5" customHeight="1"/>
    <row r="8" ht="22.5" customHeight="1"/>
    <row r="9" ht="22.5" customHeight="1"/>
    <row r="10" ht="22.5" customHeight="1"/>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5.0"/>
    <col customWidth="1" min="2" max="2" width="19.57"/>
    <col customWidth="1" min="3" max="3" width="17.14"/>
    <col customWidth="1" min="4" max="4" width="20.57"/>
    <col customWidth="1" min="6" max="6" width="14.71"/>
    <col customWidth="1" min="7" max="7" width="18.0"/>
    <col customWidth="1" min="9" max="9" width="14.86"/>
    <col customWidth="1" min="10" max="10" width="22.14"/>
    <col customWidth="1" min="11" max="11" width="17.71"/>
    <col customWidth="1" min="13" max="13" width="17.29"/>
    <col customWidth="1" min="14" max="14" width="20.0"/>
    <col customWidth="1" min="15" max="15" width="19.29"/>
    <col customWidth="1" min="16" max="16" width="15.57"/>
    <col customWidth="1" min="17" max="17" width="18.0"/>
    <col customWidth="1" min="18" max="18" width="20.0"/>
  </cols>
  <sheetData>
    <row r="1" ht="22.5" customHeight="1">
      <c r="A1" s="6" t="s">
        <v>2349</v>
      </c>
      <c r="B1" s="6" t="s">
        <v>2309</v>
      </c>
      <c r="C1" s="6" t="s">
        <v>2310</v>
      </c>
      <c r="D1" s="6" t="s">
        <v>1601</v>
      </c>
      <c r="E1" s="6" t="s">
        <v>2311</v>
      </c>
      <c r="F1" s="6" t="s">
        <v>1540</v>
      </c>
      <c r="G1" s="6" t="s">
        <v>1542</v>
      </c>
      <c r="H1" s="6" t="s">
        <v>1536</v>
      </c>
      <c r="I1" s="6" t="s">
        <v>1537</v>
      </c>
      <c r="J1" s="6" t="s">
        <v>2312</v>
      </c>
      <c r="K1" s="6" t="s">
        <v>2350</v>
      </c>
      <c r="L1" s="6" t="s">
        <v>1608</v>
      </c>
      <c r="M1" s="6" t="s">
        <v>1616</v>
      </c>
      <c r="N1" s="6" t="s">
        <v>645</v>
      </c>
      <c r="O1" s="6" t="s">
        <v>1620</v>
      </c>
      <c r="P1" s="6" t="s">
        <v>2138</v>
      </c>
      <c r="Q1" s="6" t="s">
        <v>2351</v>
      </c>
      <c r="R1" s="6" t="s">
        <v>1635</v>
      </c>
      <c r="S1" s="6" t="s">
        <v>5</v>
      </c>
    </row>
    <row r="2" ht="22.5" customHeight="1">
      <c r="A2" s="8" t="s">
        <v>2352</v>
      </c>
      <c r="B2" s="8" t="s">
        <v>2323</v>
      </c>
      <c r="C2" s="8" t="s">
        <v>2324</v>
      </c>
      <c r="D2" s="8" t="s">
        <v>2325</v>
      </c>
      <c r="E2" s="43">
        <v>9.999999999E9</v>
      </c>
      <c r="F2" s="8" t="s">
        <v>2327</v>
      </c>
      <c r="G2" s="8" t="s">
        <v>1734</v>
      </c>
      <c r="H2" s="8" t="s">
        <v>1729</v>
      </c>
      <c r="I2" s="52">
        <v>46300.0</v>
      </c>
      <c r="J2" s="43">
        <v>243.0</v>
      </c>
      <c r="K2" s="52">
        <v>46307.0</v>
      </c>
      <c r="L2" s="8" t="s">
        <v>2330</v>
      </c>
      <c r="M2" s="8" t="s">
        <v>1665</v>
      </c>
      <c r="N2" s="8" t="s">
        <v>1763</v>
      </c>
      <c r="O2" s="8" t="s">
        <v>1763</v>
      </c>
      <c r="P2" s="11">
        <v>46300.69790855324</v>
      </c>
      <c r="S2" s="8" t="s">
        <v>2353</v>
      </c>
    </row>
    <row r="3" ht="22.5" customHeight="1"/>
    <row r="4" ht="22.5" customHeight="1"/>
    <row r="5" ht="22.5" customHeight="1"/>
    <row r="6" ht="22.5" customHeight="1"/>
    <row r="7" ht="22.5" customHeight="1"/>
    <row r="8" ht="22.5" customHeight="1"/>
    <row r="9" ht="22.5" customHeight="1"/>
    <row r="10" ht="22.5" customHeight="1"/>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3.86"/>
    <col customWidth="1" min="2" max="2" width="27.29"/>
    <col customWidth="1" min="3" max="3" width="28.43"/>
    <col customWidth="1" min="4" max="4" width="19.71"/>
    <col customWidth="1" min="5" max="5" width="20.57"/>
    <col customWidth="1" min="6" max="6" width="20.14"/>
    <col customWidth="1" min="7" max="7" width="64.71"/>
    <col customWidth="1" min="9" max="9" width="30.43"/>
    <col customWidth="1" min="10" max="10" width="49.57"/>
  </cols>
  <sheetData>
    <row r="1" ht="22.5" customHeight="1">
      <c r="A1" s="6" t="s">
        <v>2354</v>
      </c>
      <c r="B1" s="6" t="s">
        <v>2138</v>
      </c>
      <c r="C1" s="6" t="s">
        <v>1597</v>
      </c>
      <c r="D1" s="6" t="s">
        <v>1604</v>
      </c>
      <c r="E1" s="6" t="s">
        <v>1601</v>
      </c>
      <c r="F1" s="6" t="s">
        <v>2355</v>
      </c>
      <c r="G1" s="6" t="s">
        <v>2356</v>
      </c>
      <c r="H1" s="6" t="s">
        <v>46</v>
      </c>
      <c r="I1" s="6" t="s">
        <v>2357</v>
      </c>
      <c r="J1" s="6" t="s">
        <v>2358</v>
      </c>
    </row>
    <row r="2" ht="22.5" customHeight="1">
      <c r="A2" s="46" t="s">
        <v>2359</v>
      </c>
      <c r="B2" s="59">
        <v>46290.48648467593</v>
      </c>
      <c r="C2" s="46" t="s">
        <v>2005</v>
      </c>
      <c r="D2" s="46">
        <v>9.87654321E9</v>
      </c>
      <c r="E2" s="46" t="s">
        <v>2259</v>
      </c>
      <c r="F2" s="46" t="s">
        <v>2360</v>
      </c>
      <c r="G2" s="46" t="s">
        <v>2361</v>
      </c>
      <c r="H2" s="46" t="s">
        <v>2000</v>
      </c>
      <c r="I2" s="60" t="s">
        <v>2362</v>
      </c>
      <c r="J2" s="61" t="str">
        <f>HYPERLINK("https://wa.me/919876543210?text=Hello%20krishna%2C%0A%0AWe%20have%20received%20your%20request%20with%20Amruta%20Dhaanya.%0A%0ARequest%20ID%3A%20REQ-1790316628957%0A%0A%F0%9F%9B%92%20Your%20selected%20items%3A%0A%E2%80%A2%20Maize%20(Mokkajonna)%20%E2%80%93"&amp;"%201%20kg%20%C3%97%20%E2%82%B985.00%20%3D%20%E2%82%B985.00%0A%E2%80%A2%20Custard%20Apple%20(Sitaphal)%20%E2%80%93%2011%20piece%20%C3%97%20%E2%82%B921.00%20%3D%20%E2%82%B9231.00%0A%0AOrder%20Amount%3A%20%E2%82%B9316.00%0ADelivery%3A%20%E2%82%B929.00%0ATota"&amp;"l%3A%20%E2%82%B9345.00%0A%0AWe%20are%20checking%20the%20requested%20stock%20and%20quality.%20We%20will%20confirm%20your%20order%20shortly.%0A%0AThank%20you%2C%0AAmruta%20Dhaanya","📲 Open WhatsApp")</f>
        <v>📲 Open WhatsApp</v>
      </c>
    </row>
    <row r="3" ht="22.5" customHeight="1">
      <c r="A3" s="46" t="s">
        <v>2363</v>
      </c>
      <c r="B3" s="59">
        <v>46290.60308074074</v>
      </c>
      <c r="C3" s="46" t="s">
        <v>1728</v>
      </c>
      <c r="D3" s="46">
        <v>8.68643044E9</v>
      </c>
      <c r="E3" s="46" t="s">
        <v>1730</v>
      </c>
      <c r="F3" s="46" t="s">
        <v>2360</v>
      </c>
      <c r="G3" s="46" t="s">
        <v>2364</v>
      </c>
      <c r="H3" s="46" t="s">
        <v>1763</v>
      </c>
      <c r="I3" s="46"/>
      <c r="J3" s="61" t="str">
        <f>HYPERLINK("https://wa.me/918686430440?text=Hello%20Rishab%2C%0A%0AWe%20have%20received%20your%20request%20with%20Amruta%20Dhaanya.%0A%0ARequest%20ID%3A%20REQ-1790326699085%0A%0A%F0%9F%9B%92%20Your%20selected%20items%3A%0A%E2%80%A2%20Tomato%20%E2%80%93%200.75%20kg%20"&amp;"%C3%97%20%E2%82%B936.00%20%3D%20%E2%82%B927.00%0A%E2%80%A2%20Green%20Chilli%20%E2%80%93%200.25%20kg%20%C3%97%20%E2%82%B962.00%20%3D%20%E2%82%B915.50%0A%E2%80%A2%20Brinjal%20(Eggplant)%20%E2%80%93%200.5%20kg%20%C3%97%20%E2%82%B943.00%20%3D%20%E2%82%B921.50"&amp;"%0A%E2%80%A2%20Cauliflower%20%E2%80%93%200.25%20kg%20%C3%97%20%E2%82%B944.00%20%3D%20%E2%82%B911.00%0A%E2%80%A2%20Onion%20Big%20%E2%80%93%200.5%20kg%20%C3%97%20%E2%82%B979.00%20%3D%20%E2%82%B939.50%0A%E2%80%A2%20Purple%20Baby%20Brinjal%20(%E0%B0%97%E0%B1%"&amp;"81%E0%B0%A4%E0%B1%8D%E0%B0%A4%E0%B0%BF%20%E0%B0%B5%E0%B0%82%E0%B0%95%E0%B0%BE%E0%B0%AF)%20%E2%80%93%200.5%20kg%20%C3%97%20%E2%82%B949.00%20%3D%20%E2%82%B924.50%0A%E2%80%A2%20Green%20Cucumber%20(Kakdi)%20%E2%80%93%200.25%20kg%20%C3%97%20%E2%82%B944.00%20%3"&amp;"D%20%E2%82%B911.00%0A%E2%80%A2%20Spinach%20(Palakura)%20%E2%80%93%201%20bundle%20%C3%97%20%E2%82%B918.00%20%3D%20%E2%82%B918.00%0A%E2%80%A2%20Okra%20(Lady's%20Finger)%20%E2%80%93%200.25%20kg%20%C3%97%20%E2%82%B946.00%20%3D%20%E2%82%B911.50%0A%E2%80%A2%20S"&amp;"pine%20Gourd%20(Boda%20Kakarakaya%20%2F%20Kantola)%20%E2%80%93%200.25%20kg%20%C3%97%20%E2%82%B9147.00%20%3D%20%E2%82%B936.75%0A%0AOrder%20Amount%3A%20%E2%82%B9216.25%0ADelivery%3A%20%E2%82%B949.00%0ATotal%3A%20%E2%82%B9265.25%0A%0AWe%20are%20checking%20th"&amp;"e%20requested%20stock%20and%20quality.%20We%20will%20confirm%20your%20order%20shortly.%0A%0AThank%20you%2C%0AAmruta%20Dhaanya","📲 Open WhatsApp")</f>
        <v>📲 Open WhatsApp</v>
      </c>
    </row>
    <row r="4" ht="22.5" customHeight="1">
      <c r="A4" s="46" t="s">
        <v>2365</v>
      </c>
      <c r="B4" s="59">
        <v>46291.33636715278</v>
      </c>
      <c r="C4" s="46" t="s">
        <v>1752</v>
      </c>
      <c r="D4" s="46">
        <v>9.121757505E9</v>
      </c>
      <c r="E4" s="46" t="s">
        <v>1753</v>
      </c>
      <c r="F4" s="46" t="s">
        <v>2360</v>
      </c>
      <c r="G4" s="46" t="s">
        <v>2366</v>
      </c>
      <c r="H4" s="46" t="s">
        <v>1763</v>
      </c>
      <c r="I4" s="46"/>
      <c r="J4" s="61" t="str">
        <f>HYPERLINK("https://wa.me/919121757505?text=Hello%20Sumalatha%2C%0A%0AWe%20have%20received%20your%20request%20with%20Amruta%20Dhaanya.%0A%0ARequest%20ID%3A%20REQ-1790390054867%0A%0A%F0%9F%9B%92%20Your%20selected%20items%3A%0A%E2%80%A2%20Okra%20(Lady's%20Finger)%20%E2"&amp;"%80%93%200.5%20kg%20%C3%97%20%E2%82%B946.00%20%3D%20%E2%82%B923.00%0A%E2%80%A2%20Tomato%20%E2%80%93%201.5%20kg%20%C3%97%20%E2%82%B936.00%20%3D%20%E2%82%B954.00%0A%E2%80%A2%20Bitter%20Gourd%20(Kakarakaya)%20%E2%80%93%200.5%20kg%20%C3%97%20%E2%82%B949.00%20"&amp;"%3D%20%E2%82%B924.50%0A%E2%80%A2%20Cabbage%20%E2%80%93%200.5%20kg%20%C3%97%20%E2%82%B945.00%20%3D%20%E2%82%B922.50%0A%E2%80%A2%20White%20Brinjal%20(%E0%B0%A4%E0%B1%86%E0%B0%B2%E0%B1%8D%E0%B0%B2%20%E0%B0%B5%E0%B0%82%E0%B0%95%E0%B0%BE%E0%B0%AF)%20%E2%80%93%"&amp;"200.5%20kg%20%C3%97%20%E2%82%B940.00%20%3D%20%E2%82%B920.00%0A%E2%80%A2%20Cluster%20Beans%20(Goru%20Chikkudu)%20%E2%80%93%200.5%20kg%20%C3%97%20%E2%82%B959.00%20%3D%20%E2%82%B929.50%0A%E2%80%A2%20Spine%20Gourd%20(Boda%20Kakarakaya%20%2F%20Kantola)%20%E2%8"&amp;"0%93%200.25%20kg%20%C3%97%20%E2%82%B9147.00%20%3D%20%E2%82%B936.75%0A%E2%80%A2%20Broad%20Beans%20(Chikkudukaya)%20%E2%80%93%200.5%20kg%20%C3%97%20%E2%82%B949.00%20%3D%20%E2%82%B924.50%0A%E2%80%A2%20Buffalo%20Milk%20(Gedhe%20Paalu)%20%E2%80%93%200.5%20litr"&amp;"e%20%C3%97%20%E2%82%B999.00%20%3D%20%E2%82%B949.50%0A%E2%80%A2%20Curry%20Leaves%20(Karivepaku)%20%E2%80%93%201%20bundle%20%C3%97%20%E2%82%B913.00%20%3D%20%E2%82%B913.00%0A%E2%80%A2%20Maize%20(Mokkajonna)%20%E2%80%93%200.25%20kg%20%C3%97%20%E2%82%B985.00%2"&amp;"0%3D%20%E2%82%B921.25%0A%0AOrder%20Amount%3A%20%E2%82%B9318.50%0ADelivery%3A%20%E2%82%B929.00%0ATotal%3A%20%E2%82%B9347.50%0A%0AWe%20are%20checking%20the%20requested%20stock%20and%20quality.%20We%20will%20confirm%20your%20order%20shortly.%0A%0AThank%20you"&amp;"%2C%0AAmruta%20Dhaanya","📲 Open WhatsApp")</f>
        <v>📲 Open WhatsApp</v>
      </c>
    </row>
    <row r="5" ht="22.5" customHeight="1">
      <c r="A5" s="46" t="s">
        <v>2367</v>
      </c>
      <c r="B5" s="59">
        <v>46298.23864622685</v>
      </c>
      <c r="C5" s="46" t="s">
        <v>1774</v>
      </c>
      <c r="D5" s="46">
        <v>9.573291136E9</v>
      </c>
      <c r="E5" s="46" t="s">
        <v>1775</v>
      </c>
      <c r="F5" s="46" t="s">
        <v>2360</v>
      </c>
      <c r="G5" s="46" t="s">
        <v>2368</v>
      </c>
      <c r="H5" s="46" t="s">
        <v>1763</v>
      </c>
      <c r="I5" s="46"/>
      <c r="J5" s="61" t="str">
        <f>HYPERLINK("https://wa.me/919573291136?text=Hello%20Ranadheer%20Reddy%20Donthi%2C%0A%0AWe%20have%20received%20your%20request%20with%20Amruta%20Dhaanya.%0A%0ARequest%20ID%3A%20REQ-1790986416177%0A%0A%F0%9F%9B%92%20Your%20selected%20items%3A%0A%E2%80%A2%20Tomato%20%E2%"&amp;"80%93%200.5%20kg%20%C3%97%20%E2%82%B941.00%20%3D%20%E2%82%B920.50%0A%E2%80%A2%20Ivy%20Gourd%20(Dondakaya)%20%E2%80%93%200.25%20kg%20%C3%97%20%E2%82%B944.00%20%3D%20%E2%82%B911.00%0A%E2%80%A2%20Green%20Chilli%20%E2%80%93%200.25%20kg%20%C3%97%20%E2%82%B962."&amp;"00%20%3D%20%E2%82%B915.50%0A%E2%80%A2%20Apple%20(Seema%20Apple)%20%E2%80%93%200.5%20kg%20%C3%97%20%E2%82%B9230.00%20%3D%20%E2%82%B9115.00%0A%0AOrder%20Amount%3A%20%E2%82%B9162.00%0ADelivery%3A%20%E2%82%B949.00%0ATotal%3A%20%E2%82%B9211.00%0A%0AWe%20are%20"&amp;"checking%20the%20requested%20stock%20and%20quality.%20We%20will%20confirm%20your%20order%20shortly.%0A%0AThank%20you%2C%0AAmruta%20Dhaanya","📲 Open WhatsApp")</f>
        <v>📲 Open WhatsApp</v>
      </c>
    </row>
    <row r="6" ht="22.5" customHeight="1">
      <c r="A6" s="46" t="s">
        <v>2369</v>
      </c>
      <c r="B6" s="59">
        <v>46299.512841620366</v>
      </c>
      <c r="C6" s="46" t="s">
        <v>2370</v>
      </c>
      <c r="D6" s="46">
        <v>9.999999999E9</v>
      </c>
      <c r="E6" s="46" t="s">
        <v>2371</v>
      </c>
      <c r="F6" s="46" t="s">
        <v>2360</v>
      </c>
      <c r="G6" s="46" t="s">
        <v>2372</v>
      </c>
      <c r="H6" s="46" t="s">
        <v>1763</v>
      </c>
      <c r="I6" s="46"/>
      <c r="J6" s="61" t="str">
        <f>HYPERLINK("https://wa.me/919999999999?text=Hello%20BACKEND%20TEST%20CUSTOMER%2C%0A%0AWe%20have%20received%20your%20request%20with%20Amruta%20Dhaanya.%0A%0ARequest%20ID%3A%20REQ-1791096507523%0A%0A%F0%9F%9B%92%20Your%20selected%20items%3A%0A%E2%80%A2%20Nitya%20Basket"&amp;"%20%E2%80%93%201%20basket%20%C3%97%20%E2%82%B9180.00%20%3D%20%E2%82%B9180.00%0A%E2%80%A2%20Tomato%20%E2%80%93%202%20kg%20%C3%97%20%E2%82%B950.00%20%3D%20%E2%82%B9100.00%0A%0AOrder%20Amount%3A%20%E2%82%B9280.00%0ADelivery%3A%20%E2%82%B965.00%0ADistance%20c"&amp;"harge%20included%3A%20%E2%82%B916.00%20(8.58%20km)%0ATotal%3A%20%E2%82%B9345.00%0A%0AThis%20is%20your%20quoted%20amount%20based%20on%20the%20delivery%20address%20provided.%0A%0AWe%20are%20checking%20the%20requested%20stock%20and%20quality.%20We%20will%20c"&amp;"onfirm%20your%20order%20shortly.%0A%0AThank%20you%2C%0AAmruta%20Dhaanya","📲 Open WhatsApp")</f>
        <v>📲 Open WhatsApp</v>
      </c>
    </row>
    <row r="7" ht="22.5" customHeight="1">
      <c r="A7" s="46" t="s">
        <v>2381</v>
      </c>
      <c r="B7" s="59">
        <v>46299.522175046295</v>
      </c>
      <c r="C7" s="46" t="s">
        <v>2383</v>
      </c>
      <c r="D7" s="46">
        <v>8.801616021E9</v>
      </c>
      <c r="E7" s="46" t="s">
        <v>2385</v>
      </c>
      <c r="F7" s="46" t="s">
        <v>2360</v>
      </c>
      <c r="G7" s="46" t="s">
        <v>2386</v>
      </c>
      <c r="H7" s="46" t="s">
        <v>1763</v>
      </c>
      <c r="I7" s="46"/>
      <c r="J7" s="61" t="str">
        <f>HYPERLINK("https://wa.me/918801616021?text=Hello%20kalyan%2C%0A%0AWe%20have%20received%20your%20request%20with%20Amruta%20Dhaanya.%0A%0ARequest%20ID%3A%20REQ-1791097312805%0A%0A%F0%9F%9B%92%20Your%20selected%20items%3A%0A%E2%80%A2%20Nitya%20Basket%20%E2%80%93%201%20"&amp;"basket%20%C3%97%20%E2%82%B9259.00%20%3D%20%E2%82%B9259.00%0A%0AOrder%20Amount%3A%20%E2%82%B9259.00%0ADelivery%3A%20%E2%82%B973.00%0ADistance%20charge%20included%3A%20%E2%82%B924.00%20(10.82%20km)%0ATotal%3A%20%E2%82%B9332.00%0A%0AThis%20is%20your%20quoted"&amp;"%20amount%20based%20on%20the%20delivery%20address%20provided.%0A%0AWe%20are%20checking%20the%20requested%20stock%20and%20quality.%20We%20will%20confirm%20your%20order%20shortly.%0A%0AThank%20you%2C%0AAmruta%20Dhaanya","📲 Open WhatsApp")</f>
        <v>📲 Open WhatsApp</v>
      </c>
    </row>
    <row r="8" ht="22.5" customHeight="1">
      <c r="A8" s="46" t="s">
        <v>2391</v>
      </c>
      <c r="B8" s="59">
        <v>46299.52476155093</v>
      </c>
      <c r="C8" s="46" t="s">
        <v>2392</v>
      </c>
      <c r="D8" s="46">
        <v>8.801616021E9</v>
      </c>
      <c r="E8" s="46" t="s">
        <v>2385</v>
      </c>
      <c r="F8" s="46" t="s">
        <v>2360</v>
      </c>
      <c r="G8" s="46" t="s">
        <v>2395</v>
      </c>
      <c r="H8" s="46" t="s">
        <v>1763</v>
      </c>
      <c r="I8" s="46"/>
      <c r="J8" s="61" t="str">
        <f>HYPERLINK("https://wa.me/918801616021?text=Hello%20kalyan%2C%0A%0AWe%20have%20received%20your%20request%20with%20Amruta%20Dhaanya.%0A%0ARequest%20ID%3A%20REQ-1791097537739%0A%0A%F0%9F%9B%92%20Your%20selected%20items%3A%0A%E2%80%A2%20Ivy%20Gourd%20(Dondakaya)%20%E2%8"&amp;"0%93%2010%20kg%20%C3%97%20%E2%82%B944.00%20%3D%20%E2%82%B9440.00%0A%0AOrder%20Amount%3A%20%E2%82%B9440.00%0ADelivery%3A%20%E2%82%B967.00%0ADistance%20charge%20included%3A%20%E2%82%B928.00%20(11.24%20km)%0ATotal%3A%20%E2%82%B9507.00%0A%0AThis%20is%20your%2"&amp;"0quoted%20amount%20based%20on%20the%20delivery%20address%20provided.%0A%0AWe%20are%20checking%20the%20requested%20stock%20and%20quality.%20We%20will%20confirm%20your%20order%20shortly.%0A%0AThank%20you%2C%0AAmruta%20Dhaanya","📲 Open WhatsApp")</f>
        <v>📲 Open WhatsApp</v>
      </c>
    </row>
    <row r="9" ht="22.5" customHeight="1">
      <c r="A9" s="46" t="s">
        <v>2399</v>
      </c>
      <c r="B9" s="59">
        <v>46299.71074591435</v>
      </c>
      <c r="C9" s="46" t="s">
        <v>2045</v>
      </c>
      <c r="D9" s="46">
        <v>9.573902622E9</v>
      </c>
      <c r="E9" s="46" t="s">
        <v>115</v>
      </c>
      <c r="F9" s="46" t="s">
        <v>2360</v>
      </c>
      <c r="G9" s="46" t="s">
        <v>2401</v>
      </c>
      <c r="H9" s="46" t="s">
        <v>1763</v>
      </c>
      <c r="I9" s="46"/>
      <c r="J9" s="61" t="str">
        <f>HYPERLINK("https://wa.me/919573902622?text=Hello%20Manideep%2C%0A%0AWe%20have%20received%20your%20request%20with%20Amruta%20Dhaanya.%0A%0ARequest%20ID%3A%20REQ-1791113603381%0A%0A%F0%9F%9B%92%20Your%20selected%20items%3A%0A%E2%80%A2%20Ridge%20Gourd%20(Beerakaya)%20%"&amp;"E2%80%93%200.25%20kg%20%C3%97%20%E2%82%B945.00%20%3D%20%E2%82%B911.25%0A%E2%80%A2%20Yellow%20Cucumber%20(Dosakaya)%20%E2%80%93%200.25%20kg%20%C3%97%20%E2%82%B939.00%20%3D%20%E2%82%B99.75%0A%E2%80%A2%20Tomato%20%E2%80%93%200.25%20kg%20%C3%97%20%E2%82%B941."&amp;"00%20%3D%20%E2%82%B910.25%0A%E2%80%A2%20Ivy%20Gourd%20(Dondakaya)%20%E2%80%93%200.25%20kg%20%C3%97%20%E2%82%B944.00%20%3D%20%E2%82%B911.00%0A%E2%80%A2%20Green%20Chilli%20%E2%80%93%204%20kg%20%C3%97%20%E2%82%B962.00%20%3D%20%E2%82%B9248.00%0A%0AOrder%20Amo"&amp;"unt%3A%20%E2%82%B9290.00%0ADelivery%3A%20%E2%82%B961.00%0ADistance%20charge%20included%3A%20%E2%82%B912.00%20(7.96%20km)%0ATotal%3A%20%E2%82%B9351.00%0A%0AThis%20is%20your%20quoted%20amount%20based%20on%20the%20delivery%20address%20provided.%0A%0AWe%20are"&amp;"%20checking%20the%20requested%20stock%20and%20quality.%20We%20will%20confirm%20your%20order%20shortly.%0A%0AThank%20you%2C%0AAmruta%20Dhaanya","📲 Open WhatsApp")</f>
        <v>📲 Open WhatsApp</v>
      </c>
    </row>
    <row r="10" ht="22.5" customHeight="1">
      <c r="A10" s="46" t="s">
        <v>2402</v>
      </c>
      <c r="B10" s="59">
        <v>46303.751279421296</v>
      </c>
      <c r="C10" s="46" t="s">
        <v>2403</v>
      </c>
      <c r="D10" s="46">
        <v>9.177751088E9</v>
      </c>
      <c r="E10" s="46" t="s">
        <v>2404</v>
      </c>
      <c r="F10" s="46" t="s">
        <v>2360</v>
      </c>
      <c r="G10" s="46" t="s">
        <v>2405</v>
      </c>
      <c r="H10" s="46" t="s">
        <v>1763</v>
      </c>
      <c r="I10" s="46"/>
      <c r="J10" s="61" t="str">
        <f>HYPERLINK("https://wa.me/919177751088?text=Hello%20Amruta%2C%0A%0AWe%20have%20received%20your%20request%20with%20Amruta%20Dhaanya.%0A%0ARequest%20ID%3A%20REQ-1791462707307%0A%0A%F0%9F%9B%92%20Your%20selected%20items%3A%0A%E2%80%A2%20Sangamam%20Basket%20%E2%80%93%201"&amp;"%20basket%20%C3%97%20%E2%82%B9237.00%20%3D%20%E2%82%B9237.00%0A%0AOrder%20Amount%3A%20%E2%82%B9237.00%0ADelivery%3A%20%E2%82%B949.00%0ADistance%20charge%20included%3A%20%E2%82%B94.00%20(10.42%20km)%0ATotal%3A%20%E2%82%B9286.00%0A%0AThis%20is%20your%20quot"&amp;"ed%20amount%20based%20on%20the%20delivery%20address%20provided.%0A%0AWe%20are%20checking%20the%20requested%20stock%20and%20quality.%20We%20will%20confirm%20your%20order%20shortly.%0A%0AThank%20you%2C%0AAmruta%20Dhaanya","📲 Open WhatsApp")</f>
        <v>📲 Open WhatsApp</v>
      </c>
    </row>
    <row r="11" ht="22.5" customHeight="1">
      <c r="A11" s="46" t="s">
        <v>2406</v>
      </c>
      <c r="B11" s="59">
        <v>46303.867663530094</v>
      </c>
      <c r="C11" s="46" t="s">
        <v>2407</v>
      </c>
      <c r="D11" s="46">
        <v>9.177751088E9</v>
      </c>
      <c r="E11" s="46" t="s">
        <v>2408</v>
      </c>
      <c r="F11" s="46" t="s">
        <v>2360</v>
      </c>
      <c r="G11" s="46" t="s">
        <v>2409</v>
      </c>
      <c r="H11" s="46" t="s">
        <v>1763</v>
      </c>
      <c r="I11" s="46"/>
      <c r="J11" s="61" t="str">
        <f>HYPERLINK("https://wa.me/919177751088?text=Hello%20amruta%2C%0A%0AWe%20have%20received%20your%20request%20with%20Amruta%20Dhaanya.%0A%0ARequest%20ID%3A%20REQ-1791472763827%0A%0A%F0%9F%9B%92%20Your%20selected%20items%3A%0A%E2%80%A2%20Sangamam%20Basket%20%E2%80%93%201"&amp;"%20basket%20%C3%97%20%E2%82%B9249.00%20%3D%20%E2%82%B9249.00%0A%0AOrder%20Amount%3A%20%E2%82%B9249.00%0ADelivery%3A%20%E2%82%B949.00%0ADistance%20charge%20included%3A%20%E2%82%B94.00%20(10.42%20km)%0ATotal%3A%20%E2%82%B9298.00%0A%0AThis%20is%20your%20quot"&amp;"ed%20amount%20based%20on%20the%20delivery%20address%20provided.%0A%0AWe%20are%20checking%20the%20requested%20stock%20and%20quality.%20We%20will%20confirm%20your%20order%20shortly.%0A%0AThank%20you%2C%0AAmruta%20Dhaanya","📲 Open WhatsApp")</f>
        <v>📲 Open WhatsApp</v>
      </c>
    </row>
    <row r="12" ht="22.5" customHeight="1">
      <c r="A12" s="46" t="s">
        <v>2410</v>
      </c>
      <c r="B12" s="59">
        <v>46306.77417517361</v>
      </c>
      <c r="C12" s="46" t="s">
        <v>2411</v>
      </c>
      <c r="D12" s="46">
        <v>8.801616021E9</v>
      </c>
      <c r="E12" s="46" t="s">
        <v>2385</v>
      </c>
      <c r="F12" s="46" t="s">
        <v>2360</v>
      </c>
      <c r="G12" s="46" t="s">
        <v>2412</v>
      </c>
      <c r="H12" s="46" t="s">
        <v>1763</v>
      </c>
      <c r="I12" s="46"/>
      <c r="J12" s="61" t="str">
        <f>HYPERLINK("https://wa.me/918801616021?text=Hello%20kalyan%2C%0A%0AWe%20have%20received%20your%20request%20with%20Amruta%20Dhaanya.%0A%0ARequest%20ID%3A%20REQ-1791723887078%0A%0A%F0%9F%9B%92%20Your%20selected%20items%3A%0A%E2%80%A2%20Radish%20(Mullangi)%20%E2%80%93%2"&amp;"02.25%20kg%20%C3%97%20%E2%82%B954.00%20%3D%20%E2%82%B9121.50%0A%0AOrder%20Amount%3A%20%E2%82%B9122.00%0ADelivery%3A%20%E2%82%B958.00%0ADistance%20charge%20included%3A%20%E2%82%B94.00%20(10.42%20km)%0ATotal%3A%20%E2%82%B9180.00%0A%0AThis%20is%20your%20quot"&amp;"ed%20amount%20based%20on%20the%20delivery%20address%20provided.%0A%0AWe%20are%20checking%20the%20requested%20stock%20and%20quality.%20We%20will%20confirm%20your%20order%20shortly.%0A%0AThank%20you%2C%0AAmruta%20Dhaanya","📲 Open WhatsApp")</f>
        <v>📲 Open WhatsApp</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9.71"/>
    <col customWidth="1" min="2" max="2" width="58.29"/>
    <col customWidth="1" min="3" max="3" width="47.57"/>
    <col customWidth="1" min="4" max="4" width="23.86"/>
    <col customWidth="1" min="5" max="5" width="26.71"/>
    <col customWidth="1" min="6" max="6" width="16.29"/>
    <col customWidth="1" min="7" max="7" width="29.57"/>
    <col customWidth="1" min="8" max="8" width="19.14"/>
  </cols>
  <sheetData>
    <row r="1" ht="22.5" customHeight="1">
      <c r="A1" s="6" t="s">
        <v>1604</v>
      </c>
      <c r="B1" s="6" t="s">
        <v>2136</v>
      </c>
      <c r="C1" s="6" t="s">
        <v>2373</v>
      </c>
      <c r="D1" s="6" t="s">
        <v>2374</v>
      </c>
      <c r="E1" s="6" t="s">
        <v>2375</v>
      </c>
      <c r="F1" s="6" t="s">
        <v>2376</v>
      </c>
      <c r="G1" s="6" t="s">
        <v>2377</v>
      </c>
      <c r="H1" s="6" t="s">
        <v>2378</v>
      </c>
    </row>
    <row r="2" ht="22.5" customHeight="1">
      <c r="A2" s="46">
        <v>8.096908161E9</v>
      </c>
      <c r="B2" s="46" t="s">
        <v>2379</v>
      </c>
      <c r="C2" s="46" t="s">
        <v>2380</v>
      </c>
      <c r="D2" s="59">
        <v>46293.917894479164</v>
      </c>
      <c r="E2" s="59">
        <v>46293.92136670139</v>
      </c>
      <c r="F2" s="49">
        <v>0.0</v>
      </c>
      <c r="G2" s="59">
        <v>46293.91612920139</v>
      </c>
      <c r="H2" s="49">
        <v>2.0</v>
      </c>
    </row>
    <row r="3" ht="22.5" customHeight="1">
      <c r="A3" s="46">
        <v>8.919791705E9</v>
      </c>
      <c r="B3" s="46" t="s">
        <v>2382</v>
      </c>
      <c r="C3" s="46" t="s">
        <v>2384</v>
      </c>
      <c r="D3" s="59">
        <v>46283.61767982639</v>
      </c>
      <c r="E3" s="59">
        <v>46283.62115204861</v>
      </c>
      <c r="F3" s="49">
        <v>0.0</v>
      </c>
      <c r="G3" s="59">
        <v>46283.61675008102</v>
      </c>
      <c r="H3" s="49">
        <v>3.0</v>
      </c>
    </row>
    <row r="4" ht="22.5" customHeight="1">
      <c r="A4" s="46">
        <v>7.993592761E9</v>
      </c>
      <c r="B4" s="46" t="s">
        <v>2387</v>
      </c>
      <c r="C4" s="46" t="s">
        <v>2388</v>
      </c>
      <c r="D4" s="59">
        <v>46283.937500092594</v>
      </c>
      <c r="E4" s="59">
        <v>46283.94097231481</v>
      </c>
      <c r="F4" s="49">
        <v>0.0</v>
      </c>
      <c r="G4" s="59">
        <v>46283.937500092594</v>
      </c>
      <c r="H4" s="49">
        <v>1.0</v>
      </c>
    </row>
    <row r="5" ht="22.5" customHeight="1">
      <c r="A5" s="46">
        <v>9.948461766E9</v>
      </c>
      <c r="B5" s="46" t="s">
        <v>2389</v>
      </c>
      <c r="C5" s="46" t="s">
        <v>2390</v>
      </c>
      <c r="D5" s="59">
        <v>46284.53426255787</v>
      </c>
      <c r="E5" s="59">
        <v>46284.5377347801</v>
      </c>
      <c r="F5" s="49">
        <v>0.0</v>
      </c>
      <c r="G5" s="59">
        <v>46284.53426255787</v>
      </c>
      <c r="H5" s="49">
        <v>1.0</v>
      </c>
    </row>
    <row r="6" ht="22.5" customHeight="1">
      <c r="A6" s="46">
        <v>9.700737869E9</v>
      </c>
      <c r="B6" s="46" t="s">
        <v>2393</v>
      </c>
      <c r="C6" s="46" t="s">
        <v>2394</v>
      </c>
      <c r="D6" s="59">
        <v>46284.58591376158</v>
      </c>
      <c r="E6" s="59">
        <v>46284.589385983796</v>
      </c>
      <c r="F6" s="49">
        <v>0.0</v>
      </c>
      <c r="G6" s="59">
        <v>46284.58591376158</v>
      </c>
      <c r="H6" s="49">
        <v>1.0</v>
      </c>
    </row>
    <row r="7" ht="22.5" customHeight="1">
      <c r="A7" s="46">
        <v>7.741012603E9</v>
      </c>
      <c r="B7" s="46" t="s">
        <v>2396</v>
      </c>
      <c r="C7" s="46" t="s">
        <v>2397</v>
      </c>
      <c r="D7" s="59">
        <v>46286.54096618056</v>
      </c>
      <c r="E7" s="59">
        <v>46286.54443840278</v>
      </c>
      <c r="F7" s="49">
        <v>0.0</v>
      </c>
      <c r="G7" s="59">
        <v>46286.54096618056</v>
      </c>
      <c r="H7" s="49">
        <v>1.0</v>
      </c>
    </row>
    <row r="8" ht="22.5" customHeight="1">
      <c r="A8" s="46">
        <v>9.985333254E9</v>
      </c>
      <c r="B8" s="46" t="s">
        <v>2398</v>
      </c>
      <c r="C8" s="46" t="s">
        <v>2400</v>
      </c>
      <c r="D8" s="59">
        <v>46291.48650484954</v>
      </c>
      <c r="E8" s="59">
        <v>46291.48997707176</v>
      </c>
      <c r="F8" s="49">
        <v>0.0</v>
      </c>
      <c r="G8" s="59">
        <v>46291.48493203704</v>
      </c>
      <c r="H8" s="49">
        <v>2.0</v>
      </c>
    </row>
  </sheetData>
  <dataValidations>
    <dataValidation type="custom" allowBlank="1" showDropDown="1" sqref="D2:E8 G2:G8">
      <formula1>OR(NOT(ISERROR(DATEVALUE(D2))), AND(ISNUMBER(D2), LEFT(CELL("format", D2))="D"))</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9.14"/>
    <col customWidth="1" min="2" max="2" width="19.71"/>
    <col customWidth="1" min="3" max="3" width="15.14"/>
    <col customWidth="1" min="5" max="5" width="15.57"/>
    <col customWidth="1" min="6" max="6" width="34.29"/>
    <col customWidth="1" min="19" max="26" width="15.43"/>
  </cols>
  <sheetData>
    <row r="1" ht="22.5" customHeight="1">
      <c r="A1" s="6" t="s">
        <v>2413</v>
      </c>
      <c r="B1" s="6" t="s">
        <v>1604</v>
      </c>
      <c r="C1" s="6" t="s">
        <v>2136</v>
      </c>
      <c r="D1" s="6" t="s">
        <v>2137</v>
      </c>
      <c r="E1" s="6" t="s">
        <v>2138</v>
      </c>
      <c r="F1" s="6" t="s">
        <v>2139</v>
      </c>
      <c r="G1" s="6" t="s">
        <v>2376</v>
      </c>
      <c r="H1" s="6" t="s">
        <v>2414</v>
      </c>
      <c r="I1" s="6" t="s">
        <v>46</v>
      </c>
      <c r="J1" s="54" t="s">
        <v>2415</v>
      </c>
      <c r="K1" s="54" t="s">
        <v>2416</v>
      </c>
      <c r="L1" s="54" t="s">
        <v>2417</v>
      </c>
      <c r="M1" s="54" t="s">
        <v>2418</v>
      </c>
      <c r="N1" s="54" t="s">
        <v>2419</v>
      </c>
      <c r="O1" s="54" t="s">
        <v>2420</v>
      </c>
      <c r="P1" s="54" t="s">
        <v>2421</v>
      </c>
      <c r="Q1" s="54" t="s">
        <v>2422</v>
      </c>
      <c r="R1" s="54" t="s">
        <v>2423</v>
      </c>
      <c r="S1" s="54" t="s">
        <v>2424</v>
      </c>
      <c r="T1" s="54" t="s">
        <v>2425</v>
      </c>
      <c r="U1" s="54" t="s">
        <v>2426</v>
      </c>
      <c r="V1" s="54" t="s">
        <v>2427</v>
      </c>
      <c r="W1" s="54" t="s">
        <v>1922</v>
      </c>
      <c r="X1" s="54" t="s">
        <v>2428</v>
      </c>
      <c r="Y1" s="54" t="s">
        <v>2429</v>
      </c>
      <c r="Z1" s="54" t="s">
        <v>2430</v>
      </c>
    </row>
    <row r="2" ht="22.5" customHeight="1">
      <c r="A2" s="8" t="s">
        <v>2431</v>
      </c>
      <c r="B2" s="8">
        <v>8.688750792E9</v>
      </c>
      <c r="C2" s="8" t="s">
        <v>2432</v>
      </c>
      <c r="D2" s="8" t="s">
        <v>2433</v>
      </c>
      <c r="E2" s="11">
        <v>46293.622352129634</v>
      </c>
      <c r="F2" s="11">
        <v>46293.62582435185</v>
      </c>
      <c r="G2" s="43">
        <v>0.0</v>
      </c>
      <c r="H2" s="8" t="s">
        <v>2434</v>
      </c>
      <c r="I2" s="8" t="s">
        <v>2154</v>
      </c>
    </row>
    <row r="3" ht="22.5" customHeight="1">
      <c r="A3" s="8" t="s">
        <v>2435</v>
      </c>
      <c r="B3" s="8">
        <v>8.688750792E9</v>
      </c>
      <c r="C3" s="8" t="s">
        <v>2436</v>
      </c>
      <c r="D3" s="8" t="s">
        <v>2437</v>
      </c>
      <c r="E3" s="11">
        <v>46293.630212881944</v>
      </c>
      <c r="F3" s="11">
        <v>46293.63368510417</v>
      </c>
      <c r="G3" s="43">
        <v>0.0</v>
      </c>
      <c r="H3" s="8" t="s">
        <v>2434</v>
      </c>
      <c r="I3" s="8" t="s">
        <v>2163</v>
      </c>
    </row>
    <row r="4" ht="22.5" customHeight="1">
      <c r="A4" s="8" t="s">
        <v>2438</v>
      </c>
      <c r="B4" s="8">
        <v>8.688750792E9</v>
      </c>
      <c r="C4" s="8" t="s">
        <v>2439</v>
      </c>
      <c r="D4" s="8" t="s">
        <v>2440</v>
      </c>
      <c r="E4" s="11">
        <v>46293.63397246528</v>
      </c>
      <c r="F4" s="11">
        <v>46293.6374446875</v>
      </c>
      <c r="G4" s="43">
        <v>0.0</v>
      </c>
      <c r="H4" s="8" t="s">
        <v>2434</v>
      </c>
      <c r="I4" s="8" t="s">
        <v>2163</v>
      </c>
    </row>
    <row r="5" ht="22.5" customHeight="1">
      <c r="A5" s="8" t="s">
        <v>2441</v>
      </c>
      <c r="B5" s="8">
        <v>8.688750792E9</v>
      </c>
      <c r="C5" s="8" t="s">
        <v>2442</v>
      </c>
      <c r="D5" s="8" t="s">
        <v>2443</v>
      </c>
      <c r="E5" s="11">
        <v>46293.6374825463</v>
      </c>
      <c r="F5" s="11">
        <v>46293.64095476852</v>
      </c>
      <c r="G5" s="43">
        <v>0.0</v>
      </c>
      <c r="H5" s="8" t="s">
        <v>2434</v>
      </c>
      <c r="I5" s="8" t="s">
        <v>2163</v>
      </c>
    </row>
    <row r="6" ht="22.5" customHeight="1">
      <c r="A6" s="8" t="s">
        <v>2444</v>
      </c>
      <c r="B6" s="8">
        <v>8.688750792E9</v>
      </c>
      <c r="C6" s="8" t="s">
        <v>2445</v>
      </c>
      <c r="D6" s="8" t="s">
        <v>2446</v>
      </c>
      <c r="E6" s="11">
        <v>46293.641123298614</v>
      </c>
      <c r="F6" s="11">
        <v>46293.64459552083</v>
      </c>
      <c r="G6" s="43">
        <v>0.0</v>
      </c>
      <c r="H6" s="8" t="s">
        <v>2434</v>
      </c>
      <c r="I6" s="8" t="s">
        <v>2163</v>
      </c>
    </row>
    <row r="7" ht="22.5" customHeight="1">
      <c r="A7" s="8" t="s">
        <v>2447</v>
      </c>
      <c r="B7" s="8">
        <v>8.688750792E9</v>
      </c>
      <c r="C7" s="8" t="s">
        <v>2448</v>
      </c>
      <c r="D7" s="8" t="s">
        <v>2449</v>
      </c>
      <c r="E7" s="11">
        <v>46293.65089903935</v>
      </c>
      <c r="F7" s="11">
        <v>46293.654371261575</v>
      </c>
      <c r="G7" s="43">
        <v>0.0</v>
      </c>
      <c r="H7" s="8" t="s">
        <v>2434</v>
      </c>
      <c r="I7" s="8" t="s">
        <v>2163</v>
      </c>
    </row>
    <row r="8" ht="22.5" customHeight="1">
      <c r="A8" s="8" t="s">
        <v>2450</v>
      </c>
      <c r="B8" s="8">
        <v>8.688750792E9</v>
      </c>
      <c r="C8" s="8" t="s">
        <v>2451</v>
      </c>
      <c r="D8" s="8" t="s">
        <v>2452</v>
      </c>
      <c r="E8" s="11">
        <v>46293.66250348379</v>
      </c>
      <c r="F8" s="11">
        <v>46293.66597570602</v>
      </c>
      <c r="G8" s="43">
        <v>0.0</v>
      </c>
      <c r="H8" s="8" t="s">
        <v>2434</v>
      </c>
      <c r="I8" s="8" t="s">
        <v>2163</v>
      </c>
    </row>
    <row r="9" ht="22.5" customHeight="1">
      <c r="A9" s="8" t="s">
        <v>2453</v>
      </c>
      <c r="B9" s="8">
        <v>8.688750792E9</v>
      </c>
      <c r="C9" s="8" t="s">
        <v>2454</v>
      </c>
      <c r="D9" s="8" t="s">
        <v>2455</v>
      </c>
      <c r="E9" s="11">
        <v>46293.672911319445</v>
      </c>
      <c r="F9" s="11">
        <v>46293.676383541664</v>
      </c>
      <c r="G9" s="43">
        <v>0.0</v>
      </c>
      <c r="H9" s="8" t="s">
        <v>2434</v>
      </c>
      <c r="I9" s="8" t="s">
        <v>2163</v>
      </c>
    </row>
    <row r="10" ht="22.5" customHeight="1">
      <c r="A10" s="8" t="s">
        <v>2456</v>
      </c>
      <c r="B10" s="8">
        <v>8.688750792E9</v>
      </c>
      <c r="C10" s="8" t="s">
        <v>2457</v>
      </c>
      <c r="D10" s="8" t="s">
        <v>2458</v>
      </c>
      <c r="E10" s="11">
        <v>46293.681085833334</v>
      </c>
      <c r="F10" s="11">
        <v>46293.68455805555</v>
      </c>
      <c r="G10" s="43">
        <v>0.0</v>
      </c>
      <c r="H10" s="8" t="s">
        <v>2434</v>
      </c>
      <c r="I10" s="8" t="s">
        <v>2163</v>
      </c>
    </row>
    <row r="11" ht="22.5" customHeight="1">
      <c r="A11" s="8" t="s">
        <v>2459</v>
      </c>
      <c r="B11" s="8">
        <v>8.688750792E9</v>
      </c>
      <c r="C11" s="8" t="s">
        <v>2460</v>
      </c>
      <c r="D11" s="8" t="s">
        <v>2461</v>
      </c>
      <c r="E11" s="11">
        <v>46293.69090274305</v>
      </c>
      <c r="F11" s="11">
        <v>46293.69437496528</v>
      </c>
      <c r="G11" s="43">
        <v>0.0</v>
      </c>
      <c r="H11" s="8" t="s">
        <v>2434</v>
      </c>
      <c r="I11" s="8" t="s">
        <v>2163</v>
      </c>
    </row>
    <row r="12" ht="22.5" customHeight="1">
      <c r="A12" s="8" t="s">
        <v>2462</v>
      </c>
      <c r="B12" s="8">
        <v>8.688750792E9</v>
      </c>
      <c r="C12" s="8" t="s">
        <v>2463</v>
      </c>
      <c r="D12" s="8" t="s">
        <v>2464</v>
      </c>
      <c r="E12" s="11">
        <v>46293.71960258102</v>
      </c>
      <c r="F12" s="11">
        <v>46293.723074803245</v>
      </c>
      <c r="G12" s="43">
        <v>0.0</v>
      </c>
      <c r="H12" s="8" t="s">
        <v>2434</v>
      </c>
      <c r="I12" s="8" t="s">
        <v>2163</v>
      </c>
    </row>
    <row r="13" ht="22.5" customHeight="1">
      <c r="A13" s="8" t="s">
        <v>2465</v>
      </c>
      <c r="B13" s="8">
        <v>8.096908161E9</v>
      </c>
      <c r="C13" s="8" t="s">
        <v>2466</v>
      </c>
      <c r="D13" s="8" t="s">
        <v>2467</v>
      </c>
      <c r="E13" s="11">
        <v>46293.9132619213</v>
      </c>
      <c r="F13" s="11">
        <v>46293.91673414352</v>
      </c>
      <c r="G13" s="43">
        <v>0.0</v>
      </c>
      <c r="H13" s="8" t="s">
        <v>2434</v>
      </c>
      <c r="I13" s="8" t="s">
        <v>2154</v>
      </c>
    </row>
    <row r="14" ht="22.5" customHeight="1">
      <c r="A14" s="8" t="s">
        <v>2469</v>
      </c>
      <c r="B14" s="8">
        <v>8.096908161E9</v>
      </c>
      <c r="C14" s="8" t="s">
        <v>2471</v>
      </c>
      <c r="D14" s="8" t="s">
        <v>2473</v>
      </c>
      <c r="E14" s="11">
        <v>46293.91383078704</v>
      </c>
      <c r="F14" s="11">
        <v>46293.917303009264</v>
      </c>
      <c r="G14" s="43">
        <v>0.0</v>
      </c>
      <c r="H14" s="8" t="s">
        <v>2434</v>
      </c>
      <c r="I14" s="8" t="s">
        <v>2154</v>
      </c>
    </row>
    <row r="15" ht="22.5" customHeight="1">
      <c r="A15" s="8" t="s">
        <v>2478</v>
      </c>
      <c r="B15" s="8">
        <v>8.096908161E9</v>
      </c>
      <c r="C15" s="8" t="s">
        <v>2480</v>
      </c>
      <c r="D15" s="8" t="s">
        <v>2481</v>
      </c>
      <c r="E15" s="11">
        <v>46293.914263750004</v>
      </c>
      <c r="F15" s="11">
        <v>46293.91773597222</v>
      </c>
      <c r="G15" s="43">
        <v>0.0</v>
      </c>
      <c r="H15" s="8" t="s">
        <v>2434</v>
      </c>
      <c r="I15" s="8" t="s">
        <v>2163</v>
      </c>
    </row>
    <row r="16" ht="22.5" customHeight="1">
      <c r="A16" s="8" t="s">
        <v>2485</v>
      </c>
      <c r="B16" s="8">
        <v>9.550329475E9</v>
      </c>
      <c r="C16" s="8" t="s">
        <v>2486</v>
      </c>
      <c r="D16" s="8" t="s">
        <v>2487</v>
      </c>
      <c r="E16" s="11">
        <v>46294.42091898149</v>
      </c>
      <c r="F16" s="11">
        <v>46294.424391203705</v>
      </c>
      <c r="G16" s="43">
        <v>0.0</v>
      </c>
      <c r="H16" s="8" t="s">
        <v>2434</v>
      </c>
      <c r="I16" s="8" t="s">
        <v>2163</v>
      </c>
    </row>
    <row r="17" ht="22.5" customHeight="1">
      <c r="A17" s="8" t="s">
        <v>2489</v>
      </c>
      <c r="B17" s="8">
        <v>9.573902622E9</v>
      </c>
      <c r="C17" s="8" t="s">
        <v>2490</v>
      </c>
      <c r="D17" s="8" t="s">
        <v>2492</v>
      </c>
      <c r="E17" s="11">
        <v>46294.53643099537</v>
      </c>
      <c r="F17" s="11">
        <v>46294.53990321759</v>
      </c>
      <c r="G17" s="43">
        <v>0.0</v>
      </c>
      <c r="H17" s="8" t="s">
        <v>2434</v>
      </c>
      <c r="I17" s="8" t="s">
        <v>2163</v>
      </c>
    </row>
    <row r="18" ht="22.5" customHeight="1">
      <c r="A18" s="8" t="s">
        <v>2495</v>
      </c>
      <c r="B18" s="8">
        <v>7.036820035E9</v>
      </c>
      <c r="C18" s="8" t="s">
        <v>2496</v>
      </c>
      <c r="D18" s="8" t="s">
        <v>2497</v>
      </c>
      <c r="E18" s="11">
        <v>46294.83664355324</v>
      </c>
      <c r="F18" s="11">
        <v>46294.84011577546</v>
      </c>
      <c r="G18" s="43">
        <v>0.0</v>
      </c>
      <c r="H18" s="8" t="s">
        <v>2434</v>
      </c>
      <c r="I18" s="8" t="s">
        <v>2163</v>
      </c>
    </row>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14"/>
    <col customWidth="1" min="2" max="2" width="19.71"/>
    <col customWidth="1" min="3" max="3" width="20.57"/>
    <col customWidth="1" min="4" max="4" width="14.71"/>
    <col customWidth="1" min="6" max="6" width="19.57"/>
    <col customWidth="1" min="7" max="8" width="30.0"/>
    <col customWidth="1" min="9" max="9" width="18.29"/>
    <col customWidth="1" min="10" max="10" width="22.86"/>
    <col customWidth="1" min="11" max="11" width="17.14"/>
  </cols>
  <sheetData>
    <row r="1" ht="22.5" customHeight="1">
      <c r="A1" s="6" t="s">
        <v>2310</v>
      </c>
      <c r="B1" s="6" t="s">
        <v>1604</v>
      </c>
      <c r="C1" s="6" t="s">
        <v>1601</v>
      </c>
      <c r="D1" s="6" t="s">
        <v>2468</v>
      </c>
      <c r="E1" s="6" t="s">
        <v>2470</v>
      </c>
      <c r="F1" s="6" t="s">
        <v>2472</v>
      </c>
      <c r="G1" s="6" t="s">
        <v>2138</v>
      </c>
      <c r="H1" s="6" t="s">
        <v>2474</v>
      </c>
      <c r="I1" s="6" t="s">
        <v>2475</v>
      </c>
      <c r="J1" s="6" t="s">
        <v>2476</v>
      </c>
      <c r="K1" s="6" t="s">
        <v>2477</v>
      </c>
    </row>
    <row r="2" ht="22.5" customHeight="1">
      <c r="A2" s="8" t="s">
        <v>2479</v>
      </c>
      <c r="B2" s="8">
        <v>8.801616021E9</v>
      </c>
      <c r="C2" s="8" t="s">
        <v>2325</v>
      </c>
      <c r="D2" s="8" t="s">
        <v>2482</v>
      </c>
      <c r="E2" s="8" t="s">
        <v>2483</v>
      </c>
      <c r="F2" s="8" t="s">
        <v>2484</v>
      </c>
      <c r="G2" s="11">
        <v>46292.65385449074</v>
      </c>
      <c r="H2" s="11">
        <v>46293.008273009254</v>
      </c>
      <c r="I2" s="52">
        <v>46293.008273009254</v>
      </c>
      <c r="J2" s="43">
        <v>0.0</v>
      </c>
      <c r="K2" s="52"/>
    </row>
    <row r="3" ht="22.5" customHeight="1">
      <c r="A3" s="8" t="s">
        <v>2488</v>
      </c>
      <c r="B3" s="8">
        <v>8.688750792E9</v>
      </c>
      <c r="C3" s="8" t="s">
        <v>2491</v>
      </c>
      <c r="D3" s="8" t="s">
        <v>2493</v>
      </c>
      <c r="E3" s="8" t="s">
        <v>2494</v>
      </c>
      <c r="F3" s="8" t="s">
        <v>2484</v>
      </c>
      <c r="G3" s="11">
        <v>46293.72011537037</v>
      </c>
      <c r="H3" s="11">
        <v>46295.27322069445</v>
      </c>
      <c r="I3" s="52">
        <v>46295.27322069445</v>
      </c>
      <c r="J3" s="43">
        <v>0.0</v>
      </c>
    </row>
    <row r="4" ht="22.5" customHeight="1">
      <c r="A4" s="8" t="s">
        <v>2498</v>
      </c>
      <c r="B4" s="8">
        <v>8.096908161E9</v>
      </c>
      <c r="C4" s="8" t="s">
        <v>2499</v>
      </c>
      <c r="D4" s="8" t="s">
        <v>2500</v>
      </c>
      <c r="E4" s="8" t="s">
        <v>2501</v>
      </c>
      <c r="F4" s="8" t="s">
        <v>2484</v>
      </c>
      <c r="G4" s="11">
        <v>46293.91500512732</v>
      </c>
      <c r="H4" s="11">
        <v>46293.9152822801</v>
      </c>
      <c r="I4" s="52">
        <v>46293.9152822801</v>
      </c>
      <c r="J4" s="43">
        <v>0.0</v>
      </c>
    </row>
    <row r="5" ht="22.5" customHeight="1">
      <c r="A5" s="8" t="s">
        <v>2502</v>
      </c>
      <c r="B5" s="8">
        <v>9.550329475E9</v>
      </c>
      <c r="C5" s="8" t="s">
        <v>2503</v>
      </c>
      <c r="D5" s="8" t="s">
        <v>2504</v>
      </c>
      <c r="E5" s="8" t="s">
        <v>2505</v>
      </c>
      <c r="F5" s="8" t="s">
        <v>2484</v>
      </c>
      <c r="G5" s="11">
        <v>46294.42184613426</v>
      </c>
      <c r="H5" s="11">
        <v>46295.66763216435</v>
      </c>
      <c r="I5" s="52">
        <v>46295.66763216435</v>
      </c>
      <c r="J5" s="43">
        <v>0.0</v>
      </c>
    </row>
    <row r="6" ht="22.5" customHeight="1">
      <c r="A6" s="8" t="s">
        <v>2506</v>
      </c>
      <c r="B6" s="8">
        <v>9.573902622E9</v>
      </c>
      <c r="C6" s="8" t="s">
        <v>2507</v>
      </c>
      <c r="D6" s="8" t="s">
        <v>2508</v>
      </c>
      <c r="E6" s="8" t="s">
        <v>2509</v>
      </c>
      <c r="F6" s="8" t="s">
        <v>2484</v>
      </c>
      <c r="G6" s="11">
        <v>46294.5373068287</v>
      </c>
      <c r="H6" s="11">
        <v>46294.53895447917</v>
      </c>
      <c r="I6" s="52">
        <v>46294.53895447917</v>
      </c>
      <c r="J6" s="43">
        <v>0.0</v>
      </c>
    </row>
    <row r="7" ht="22.5" customHeight="1">
      <c r="A7" s="8" t="s">
        <v>2510</v>
      </c>
      <c r="B7" s="8">
        <v>7.036820035E9</v>
      </c>
      <c r="C7" s="8" t="s">
        <v>2511</v>
      </c>
      <c r="D7" s="8" t="s">
        <v>2512</v>
      </c>
      <c r="E7" s="8" t="s">
        <v>2513</v>
      </c>
      <c r="F7" s="8" t="s">
        <v>2484</v>
      </c>
      <c r="G7" s="11">
        <v>46294.83727417824</v>
      </c>
      <c r="H7" s="11">
        <v>46294.83766365741</v>
      </c>
      <c r="I7" s="52">
        <v>46294.83766365741</v>
      </c>
      <c r="J7" s="43">
        <v>0.0</v>
      </c>
    </row>
    <row r="8" ht="22.5" customHeight="1"/>
    <row r="9" ht="22.5" customHeight="1">
      <c r="D9" s="44"/>
    </row>
    <row r="10" ht="22.5" customHeight="1">
      <c r="C10" s="44"/>
    </row>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7.14"/>
    <col customWidth="1" min="3" max="3" width="19.71"/>
    <col customWidth="1" min="5" max="5" width="16.0"/>
    <col customWidth="1" min="7" max="7" width="19.14"/>
    <col customWidth="1" min="9" max="9" width="16.0"/>
    <col customWidth="1" min="19" max="26" width="15.43"/>
  </cols>
  <sheetData>
    <row r="1" ht="22.5" customHeight="1">
      <c r="A1" s="6" t="s">
        <v>2520</v>
      </c>
      <c r="B1" s="6" t="s">
        <v>2310</v>
      </c>
      <c r="C1" s="6" t="s">
        <v>1604</v>
      </c>
      <c r="D1" s="6" t="s">
        <v>2521</v>
      </c>
      <c r="E1" s="6" t="s">
        <v>19</v>
      </c>
      <c r="F1" s="6" t="s">
        <v>2522</v>
      </c>
      <c r="G1" s="6" t="s">
        <v>2523</v>
      </c>
      <c r="H1" s="6" t="s">
        <v>2524</v>
      </c>
      <c r="I1" s="6" t="s">
        <v>2525</v>
      </c>
      <c r="J1" s="54" t="s">
        <v>2415</v>
      </c>
      <c r="K1" s="54" t="s">
        <v>2416</v>
      </c>
      <c r="L1" s="54" t="s">
        <v>2417</v>
      </c>
      <c r="M1" s="54" t="s">
        <v>2418</v>
      </c>
      <c r="N1" s="54" t="s">
        <v>2419</v>
      </c>
      <c r="O1" s="54" t="s">
        <v>2420</v>
      </c>
      <c r="P1" s="54" t="s">
        <v>2421</v>
      </c>
      <c r="Q1" s="54" t="s">
        <v>2422</v>
      </c>
      <c r="R1" s="54" t="s">
        <v>2423</v>
      </c>
      <c r="S1" s="54" t="s">
        <v>2424</v>
      </c>
      <c r="T1" s="54" t="s">
        <v>2425</v>
      </c>
      <c r="U1" s="54" t="s">
        <v>2426</v>
      </c>
      <c r="V1" s="54" t="s">
        <v>2427</v>
      </c>
      <c r="W1" s="54" t="s">
        <v>1922</v>
      </c>
      <c r="X1" s="54" t="s">
        <v>2428</v>
      </c>
      <c r="Y1" s="54" t="s">
        <v>2429</v>
      </c>
      <c r="Z1" s="54" t="s">
        <v>2430</v>
      </c>
    </row>
    <row r="2" ht="22.5" customHeight="1"/>
    <row r="3" ht="22.5" customHeight="1"/>
    <row r="4" ht="22.5" customHeight="1"/>
    <row r="5" ht="22.5" customHeight="1"/>
    <row r="6" ht="22.5" customHeight="1"/>
    <row r="7" ht="22.5" customHeight="1"/>
    <row r="8" ht="22.5" customHeight="1"/>
    <row r="9" ht="22.5" customHeight="1"/>
    <row r="10" ht="22.5" customHeight="1"/>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71"/>
    <col customWidth="1" min="2" max="2" width="16.71"/>
    <col customWidth="1" min="4" max="4" width="18.0"/>
    <col customWidth="1" min="5" max="11" width="16.57"/>
  </cols>
  <sheetData>
    <row r="1" ht="22.5" customHeight="1">
      <c r="A1" s="6" t="s">
        <v>2514</v>
      </c>
      <c r="B1" s="6" t="s">
        <v>2310</v>
      </c>
      <c r="C1" s="6" t="s">
        <v>1604</v>
      </c>
      <c r="D1" s="6" t="s">
        <v>2515</v>
      </c>
      <c r="E1" s="6" t="s">
        <v>2516</v>
      </c>
      <c r="F1" s="6" t="s">
        <v>2517</v>
      </c>
      <c r="G1" s="23" t="s">
        <v>2139</v>
      </c>
      <c r="H1" s="6" t="s">
        <v>2518</v>
      </c>
      <c r="I1" s="6" t="s">
        <v>46</v>
      </c>
      <c r="J1" s="6" t="s">
        <v>2138</v>
      </c>
      <c r="K1" s="6" t="s">
        <v>2519</v>
      </c>
    </row>
    <row r="13">
      <c r="D13" s="32"/>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5.0"/>
    <col customWidth="1" min="3" max="3" width="19.71"/>
    <col customWidth="1" min="4" max="4" width="36.29"/>
  </cols>
  <sheetData>
    <row r="1" ht="22.5" customHeight="1">
      <c r="A1" s="6" t="s">
        <v>2526</v>
      </c>
      <c r="B1" s="6" t="s">
        <v>2527</v>
      </c>
      <c r="C1" s="6" t="s">
        <v>1604</v>
      </c>
      <c r="D1" s="6" t="s">
        <v>23</v>
      </c>
      <c r="E1" s="6" t="s">
        <v>1607</v>
      </c>
      <c r="F1" s="6" t="s">
        <v>46</v>
      </c>
    </row>
    <row r="2" ht="22.5" customHeight="1">
      <c r="A2" s="8" t="s">
        <v>1748</v>
      </c>
      <c r="B2" s="8" t="s">
        <v>2499</v>
      </c>
      <c r="C2" s="8">
        <v>8.096908161E9</v>
      </c>
      <c r="D2" s="8" t="s">
        <v>163</v>
      </c>
      <c r="E2" s="8" t="s">
        <v>2528</v>
      </c>
      <c r="F2" s="8" t="s">
        <v>15</v>
      </c>
    </row>
    <row r="3" ht="22.5" customHeight="1"/>
    <row r="4" ht="22.5" customHeight="1"/>
    <row r="5" ht="22.5" customHeight="1"/>
    <row r="6" ht="22.5" customHeight="1"/>
    <row r="7" ht="22.5" customHeight="1"/>
    <row r="8" ht="22.5" customHeight="1"/>
    <row r="9" ht="22.5" customHeight="1"/>
    <row r="10" ht="22.5" customHeight="1"/>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29"/>
    <col customWidth="1" min="3" max="3" width="29.86"/>
    <col customWidth="1" min="4" max="4" width="30.57"/>
    <col customWidth="1" min="5" max="5" width="18.86"/>
    <col customWidth="1" min="6" max="6" width="21.29"/>
    <col customWidth="1" min="7" max="7" width="22.29"/>
    <col customWidth="1" min="8" max="8" width="37.71"/>
    <col customWidth="1" min="9" max="9" width="87.29"/>
    <col customWidth="1" min="10" max="10" width="18.0"/>
    <col customWidth="1" min="11" max="11" width="21.86"/>
    <col customWidth="1" min="12" max="12" width="21.0"/>
    <col customWidth="1" min="13" max="16" width="21.43"/>
    <col customWidth="1" min="17" max="17" width="21.71"/>
    <col customWidth="1" min="18" max="18" width="23.86"/>
    <col customWidth="1" min="19" max="19" width="21.43"/>
    <col customWidth="1" min="20" max="20" width="24.29"/>
    <col customWidth="1" min="21" max="25" width="39.57"/>
    <col customWidth="1" min="26" max="26" width="88.43"/>
    <col customWidth="1" min="27" max="28" width="64.86"/>
  </cols>
  <sheetData>
    <row r="1" ht="22.5" customHeight="1">
      <c r="A1" s="6" t="s">
        <v>2529</v>
      </c>
      <c r="B1" s="6" t="s">
        <v>2530</v>
      </c>
      <c r="C1" s="6" t="s">
        <v>2531</v>
      </c>
      <c r="D1" s="6" t="s">
        <v>2532</v>
      </c>
      <c r="E1" s="6" t="s">
        <v>1588</v>
      </c>
      <c r="F1" s="6" t="s">
        <v>1601</v>
      </c>
      <c r="G1" s="6" t="s">
        <v>22</v>
      </c>
      <c r="H1" s="6" t="s">
        <v>2533</v>
      </c>
      <c r="I1" s="6" t="s">
        <v>2534</v>
      </c>
      <c r="J1" s="6" t="s">
        <v>2535</v>
      </c>
      <c r="K1" s="6" t="s">
        <v>2536</v>
      </c>
      <c r="L1" s="6" t="s">
        <v>2537</v>
      </c>
      <c r="M1" s="6" t="s">
        <v>2538</v>
      </c>
      <c r="N1" s="6" t="s">
        <v>2539</v>
      </c>
      <c r="O1" s="6" t="s">
        <v>2540</v>
      </c>
      <c r="P1" s="6" t="s">
        <v>1623</v>
      </c>
      <c r="Q1" s="6" t="s">
        <v>2541</v>
      </c>
      <c r="R1" s="6" t="s">
        <v>2542</v>
      </c>
      <c r="S1" s="6" t="s">
        <v>2543</v>
      </c>
      <c r="T1" s="6" t="s">
        <v>2544</v>
      </c>
      <c r="U1" s="6" t="s">
        <v>2545</v>
      </c>
      <c r="V1" s="6" t="s">
        <v>645</v>
      </c>
      <c r="W1" s="6" t="s">
        <v>2546</v>
      </c>
      <c r="X1" s="6" t="s">
        <v>2547</v>
      </c>
      <c r="Y1" s="6" t="s">
        <v>2548</v>
      </c>
      <c r="Z1" s="6" t="s">
        <v>2549</v>
      </c>
      <c r="AA1" s="6" t="s">
        <v>5</v>
      </c>
      <c r="AB1" s="6" t="s">
        <v>2214</v>
      </c>
    </row>
    <row r="2" ht="22.5" customHeight="1">
      <c r="A2" s="8" t="s">
        <v>2550</v>
      </c>
      <c r="B2" s="62">
        <v>46285.0</v>
      </c>
      <c r="C2" s="8" t="s">
        <v>2551</v>
      </c>
      <c r="D2" s="8" t="s">
        <v>1649</v>
      </c>
      <c r="E2" s="8" t="s">
        <v>1649</v>
      </c>
      <c r="F2" s="8" t="s">
        <v>1657</v>
      </c>
      <c r="G2" s="8">
        <v>6.303425583E9</v>
      </c>
      <c r="H2" s="8" t="s">
        <v>629</v>
      </c>
      <c r="I2" s="8" t="s">
        <v>1662</v>
      </c>
      <c r="J2" s="8" t="s">
        <v>1660</v>
      </c>
      <c r="K2" s="8" t="s">
        <v>1748</v>
      </c>
      <c r="L2" s="8" t="s">
        <v>2552</v>
      </c>
      <c r="M2" s="8" t="s">
        <v>2553</v>
      </c>
      <c r="N2" s="8" t="s">
        <v>1667</v>
      </c>
      <c r="O2" s="8" t="s">
        <v>1736</v>
      </c>
      <c r="P2" s="8">
        <v>49.0</v>
      </c>
      <c r="Q2" s="8">
        <v>0.0</v>
      </c>
      <c r="R2" s="8">
        <v>49.0</v>
      </c>
      <c r="S2" s="63" t="s">
        <v>2554</v>
      </c>
      <c r="T2" s="8" t="s">
        <v>142</v>
      </c>
      <c r="V2" s="8" t="s">
        <v>674</v>
      </c>
      <c r="W2" s="8">
        <v>5.0</v>
      </c>
      <c r="X2" s="8">
        <v>242.5</v>
      </c>
      <c r="Y2" s="8">
        <v>291.5</v>
      </c>
      <c r="Z2" s="8" t="s">
        <v>2555</v>
      </c>
      <c r="AA2" s="8" t="s">
        <v>2556</v>
      </c>
      <c r="AB2" s="25" t="s">
        <v>2229</v>
      </c>
    </row>
    <row r="3" ht="22.5" customHeight="1">
      <c r="A3" s="8" t="s">
        <v>2557</v>
      </c>
      <c r="B3" s="37">
        <v>46291.0</v>
      </c>
      <c r="C3" s="8" t="s">
        <v>2551</v>
      </c>
      <c r="D3" s="8" t="s">
        <v>1725</v>
      </c>
      <c r="E3" s="8" t="s">
        <v>1725</v>
      </c>
      <c r="F3" s="8" t="s">
        <v>1730</v>
      </c>
      <c r="G3" s="8">
        <v>8.68643044E9</v>
      </c>
      <c r="H3" s="8" t="s">
        <v>629</v>
      </c>
      <c r="I3" s="8" t="s">
        <v>1733</v>
      </c>
      <c r="J3" s="8" t="s">
        <v>1731</v>
      </c>
      <c r="K3" s="8" t="s">
        <v>1748</v>
      </c>
      <c r="L3" s="8" t="s">
        <v>2552</v>
      </c>
      <c r="M3" s="8" t="s">
        <v>2553</v>
      </c>
      <c r="N3" s="8" t="s">
        <v>1667</v>
      </c>
      <c r="O3" s="8" t="s">
        <v>2558</v>
      </c>
      <c r="P3" s="8">
        <v>0.0</v>
      </c>
      <c r="Q3" s="8">
        <v>0.0</v>
      </c>
      <c r="R3" s="8">
        <v>0.0</v>
      </c>
      <c r="S3" s="63" t="s">
        <v>2559</v>
      </c>
      <c r="T3" s="8" t="s">
        <v>142</v>
      </c>
      <c r="V3" s="8" t="s">
        <v>674</v>
      </c>
      <c r="W3" s="8">
        <v>10.0</v>
      </c>
      <c r="X3" s="8">
        <v>265.25</v>
      </c>
      <c r="Y3" s="8">
        <v>265.25</v>
      </c>
      <c r="Z3" s="8" t="s">
        <v>2560</v>
      </c>
      <c r="AA3" s="8" t="s">
        <v>2561</v>
      </c>
      <c r="AB3" s="25" t="s">
        <v>2229</v>
      </c>
    </row>
    <row r="4" ht="22.5" customHeight="1">
      <c r="A4" s="8" t="s">
        <v>2562</v>
      </c>
      <c r="B4" s="37">
        <v>46292.0</v>
      </c>
      <c r="C4" s="8" t="s">
        <v>2551</v>
      </c>
      <c r="D4" s="8" t="s">
        <v>1751</v>
      </c>
      <c r="E4" s="8" t="s">
        <v>1751</v>
      </c>
      <c r="F4" s="8" t="s">
        <v>1753</v>
      </c>
      <c r="G4" s="8">
        <v>9.121757505E9</v>
      </c>
      <c r="H4" s="8" t="s">
        <v>629</v>
      </c>
      <c r="I4" s="8" t="s">
        <v>1759</v>
      </c>
      <c r="J4" s="8" t="s">
        <v>1757</v>
      </c>
      <c r="K4" s="8" t="s">
        <v>1748</v>
      </c>
      <c r="L4" s="8" t="s">
        <v>2552</v>
      </c>
      <c r="M4" s="8" t="s">
        <v>2563</v>
      </c>
      <c r="N4" s="8" t="s">
        <v>1667</v>
      </c>
      <c r="O4" s="8" t="s">
        <v>1736</v>
      </c>
      <c r="P4" s="8">
        <v>0.0</v>
      </c>
      <c r="Q4" s="8">
        <v>0.0</v>
      </c>
      <c r="R4" s="8">
        <v>0.0</v>
      </c>
      <c r="S4" s="63" t="s">
        <v>2564</v>
      </c>
      <c r="T4" s="8" t="s">
        <v>2565</v>
      </c>
      <c r="V4" s="8" t="s">
        <v>674</v>
      </c>
      <c r="W4" s="8">
        <v>0.0</v>
      </c>
      <c r="X4" s="8">
        <v>347.5</v>
      </c>
      <c r="Y4" s="8">
        <v>347.5</v>
      </c>
      <c r="Z4" s="8" t="s">
        <v>2566</v>
      </c>
      <c r="AA4" s="8" t="s">
        <v>2567</v>
      </c>
      <c r="AB4" s="8" t="s">
        <v>2229</v>
      </c>
    </row>
    <row r="5" ht="22.5" customHeight="1">
      <c r="A5" s="8" t="s">
        <v>2568</v>
      </c>
      <c r="B5" s="37">
        <v>46298.0</v>
      </c>
      <c r="C5" s="8" t="s">
        <v>2551</v>
      </c>
      <c r="D5" s="8" t="s">
        <v>1773</v>
      </c>
      <c r="E5" s="8" t="s">
        <v>1773</v>
      </c>
      <c r="F5" s="8" t="s">
        <v>1775</v>
      </c>
      <c r="G5" s="8">
        <v>9.573291136E9</v>
      </c>
      <c r="H5" s="8" t="s">
        <v>629</v>
      </c>
      <c r="I5" s="8" t="s">
        <v>1777</v>
      </c>
      <c r="J5" s="8" t="s">
        <v>1776</v>
      </c>
      <c r="K5" s="8" t="s">
        <v>1748</v>
      </c>
      <c r="L5" s="8" t="s">
        <v>2552</v>
      </c>
      <c r="M5" s="8" t="s">
        <v>2569</v>
      </c>
      <c r="N5" s="8" t="s">
        <v>2274</v>
      </c>
      <c r="O5" s="8" t="s">
        <v>1736</v>
      </c>
      <c r="P5" s="8">
        <v>0.0</v>
      </c>
      <c r="Q5" s="8">
        <v>0.0</v>
      </c>
      <c r="R5" s="8">
        <v>0.0</v>
      </c>
      <c r="S5" s="63" t="s">
        <v>2570</v>
      </c>
      <c r="T5" s="8" t="s">
        <v>2565</v>
      </c>
      <c r="V5" s="8" t="s">
        <v>1763</v>
      </c>
      <c r="W5" s="8">
        <v>0.0</v>
      </c>
      <c r="X5" s="8">
        <v>211.0</v>
      </c>
      <c r="Y5" s="8">
        <v>211.0</v>
      </c>
      <c r="Z5" s="8" t="s">
        <v>2571</v>
      </c>
      <c r="AA5" s="8" t="s">
        <v>2572</v>
      </c>
      <c r="AB5" s="8" t="s">
        <v>2229</v>
      </c>
    </row>
    <row r="6" ht="22.5" customHeight="1"/>
    <row r="7" ht="22.5" customHeight="1"/>
    <row r="8" ht="22.5" customHeight="1"/>
    <row r="9" ht="22.5" customHeight="1"/>
    <row r="10" ht="22.5" customHeight="1"/>
    <row r="11" ht="22.5" customHeight="1">
      <c r="Z11" s="44"/>
    </row>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c r="C937" s="64"/>
    </row>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c r="A949" s="64"/>
      <c r="B949" s="64"/>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9.0"/>
    <col customWidth="1" min="2" max="2" width="15.0"/>
    <col customWidth="1" min="3" max="3" width="17.86"/>
    <col customWidth="1" min="4" max="4" width="22.14"/>
    <col customWidth="1" min="5" max="6" width="19.43"/>
    <col customWidth="1" min="7" max="7" width="43.0"/>
    <col customWidth="1" min="8" max="8" width="18.57"/>
  </cols>
  <sheetData>
    <row r="1" ht="22.5" customHeight="1">
      <c r="A1" s="6" t="s">
        <v>2573</v>
      </c>
      <c r="B1" s="6" t="s">
        <v>2574</v>
      </c>
      <c r="C1" s="6" t="s">
        <v>2575</v>
      </c>
      <c r="D1" s="6" t="s">
        <v>2576</v>
      </c>
      <c r="E1" s="6" t="s">
        <v>2577</v>
      </c>
      <c r="F1" s="6" t="s">
        <v>2578</v>
      </c>
      <c r="G1" s="6" t="s">
        <v>2579</v>
      </c>
      <c r="H1" s="6" t="s">
        <v>2580</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1.57"/>
    <col customWidth="1" min="2" max="2" width="28.14"/>
    <col customWidth="1" min="3" max="3" width="37.86"/>
    <col customWidth="1" min="4" max="10" width="43.0"/>
    <col customWidth="1" min="11" max="11" width="30.57"/>
    <col customWidth="1" min="12" max="28" width="43.0"/>
    <col customWidth="1" min="29" max="34" width="21.57"/>
  </cols>
  <sheetData>
    <row r="1" ht="22.5" customHeight="1">
      <c r="A1" s="65" t="s">
        <v>19</v>
      </c>
      <c r="B1" s="5" t="s">
        <v>2581</v>
      </c>
      <c r="C1" s="5" t="s">
        <v>2582</v>
      </c>
      <c r="D1" s="5" t="s">
        <v>2583</v>
      </c>
      <c r="E1" s="5" t="s">
        <v>2584</v>
      </c>
      <c r="F1" s="5" t="s">
        <v>2585</v>
      </c>
      <c r="G1" s="5" t="s">
        <v>2586</v>
      </c>
      <c r="H1" s="5" t="s">
        <v>2587</v>
      </c>
      <c r="I1" s="5" t="s">
        <v>2588</v>
      </c>
      <c r="J1" s="5" t="s">
        <v>2589</v>
      </c>
      <c r="K1" s="5" t="s">
        <v>2590</v>
      </c>
      <c r="L1" s="5" t="s">
        <v>2591</v>
      </c>
      <c r="M1" s="5" t="s">
        <v>2592</v>
      </c>
      <c r="N1" s="5" t="s">
        <v>2593</v>
      </c>
      <c r="O1" s="5" t="s">
        <v>2594</v>
      </c>
      <c r="P1" s="5" t="s">
        <v>2595</v>
      </c>
      <c r="Q1" s="5" t="s">
        <v>2596</v>
      </c>
      <c r="R1" s="5" t="s">
        <v>2597</v>
      </c>
      <c r="S1" s="5" t="s">
        <v>2598</v>
      </c>
      <c r="T1" s="5" t="s">
        <v>2599</v>
      </c>
      <c r="U1" s="5" t="s">
        <v>2600</v>
      </c>
      <c r="V1" s="5" t="s">
        <v>2601</v>
      </c>
      <c r="W1" s="5" t="s">
        <v>2602</v>
      </c>
      <c r="X1" s="5" t="s">
        <v>2603</v>
      </c>
      <c r="Y1" s="5" t="s">
        <v>2604</v>
      </c>
      <c r="Z1" s="5" t="s">
        <v>2605</v>
      </c>
      <c r="AA1" s="5" t="s">
        <v>2606</v>
      </c>
      <c r="AB1" s="5" t="s">
        <v>2607</v>
      </c>
    </row>
    <row r="21">
      <c r="D21" s="14" t="s">
        <v>2608</v>
      </c>
    </row>
  </sheetData>
  <drawing r:id="rId1"/>
  <tableParts count="1">
    <tablePart r:id="rId3"/>
  </tableParts>
</worksheet>
</file>